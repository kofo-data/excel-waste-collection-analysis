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DF131D6-529E-47EC-A1CB-4661C90104A3}" xr6:coauthVersionLast="47" xr6:coauthVersionMax="47" xr10:uidLastSave="{00000000-0000-0000-0000-000000000000}"/>
  <bookViews>
    <workbookView xWindow="-104" yWindow="-104" windowWidth="22326" windowHeight="11947" xr2:uid="{D533B5DB-6D33-4E4E-AD47-8523415B1511}"/>
  </bookViews>
  <sheets>
    <sheet name="README" sheetId="6" r:id="rId1"/>
    <sheet name="Issue_logs" sheetId="7" r:id="rId2"/>
    <sheet name="raw_data" sheetId="3" r:id="rId3"/>
    <sheet name="zones_lookup" sheetId="9" r:id="rId4"/>
    <sheet name="Clean_data" sheetId="8" r:id="rId5"/>
    <sheet name="pivot table" sheetId="10" r:id="rId6"/>
    <sheet name="Summary" sheetId="11" r:id="rId7"/>
  </sheets>
  <definedNames>
    <definedName name="ExternalData_1" localSheetId="2" hidden="1">raw_data!$A$1:$G$1031</definedName>
    <definedName name="ExternalData_2" localSheetId="4" hidden="1">'Clean_data'!$A$1:$J$1002</definedName>
    <definedName name="ExternalData_3" localSheetId="3" hidden="1">zones_lookup!$A$1:$C$9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8" l="1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D7967-9F5D-4AAB-857A-8FEE67CD7F5A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792F0147-0984-4F52-8BD1-128884CAFB43}" keepAlive="1" name="Query - waste_collection_raw" description="Connection to the 'waste_collection_raw' query in the workbook." type="5" refreshedVersion="8" background="1" saveData="1">
    <dbPr connection="Provider=Microsoft.Mashup.OleDb.1;Data Source=$Workbook$;Location=waste_collection_raw;Extended Properties=&quot;&quot;" command="SELECT * FROM [waste_collection_raw]"/>
  </connection>
  <connection id="3" xr16:uid="{D294EE25-DCDD-472D-BD02-FDFD985BD7D6}" keepAlive="1" name="Query - zones_lookup" description="Connection to the 'zones_lookup' query in the workbook." type="5" refreshedVersion="8" background="1" saveData="1">
    <dbPr connection="Provider=Microsoft.Mashup.OleDb.1;Data Source=$Workbook$;Location=zones_lookup;Extended Properties=&quot;&quot;" command="SELECT * FROM [zones_lookup]"/>
  </connection>
</connections>
</file>

<file path=xl/sharedStrings.xml><?xml version="1.0" encoding="utf-8"?>
<sst xmlns="http://schemas.openxmlformats.org/spreadsheetml/2006/main" count="10376" uniqueCount="1714">
  <si>
    <t>project: waste collection perfomance tracker(2025)</t>
  </si>
  <si>
    <t>Q1:which zone collect the most and least tonnage per trip?</t>
  </si>
  <si>
    <t>Q2:which month peak, and by how much?</t>
  </si>
  <si>
    <t>column</t>
  </si>
  <si>
    <t>meaning</t>
  </si>
  <si>
    <t>expected type</t>
  </si>
  <si>
    <t>date</t>
  </si>
  <si>
    <t>zone</t>
  </si>
  <si>
    <t>truck id</t>
  </si>
  <si>
    <t>trips</t>
  </si>
  <si>
    <t>tonnage</t>
  </si>
  <si>
    <t>fuel used</t>
  </si>
  <si>
    <t>missed pickups</t>
  </si>
  <si>
    <t>day of collect</t>
  </si>
  <si>
    <t>collection zone</t>
  </si>
  <si>
    <t>trucks used</t>
  </si>
  <si>
    <t>how many trips each trucks took</t>
  </si>
  <si>
    <t>waste collected</t>
  </si>
  <si>
    <t>fuel burned</t>
  </si>
  <si>
    <t>pickups not completed</t>
  </si>
  <si>
    <t>Date</t>
  </si>
  <si>
    <t>Zone</t>
  </si>
  <si>
    <t>Truck ID</t>
  </si>
  <si>
    <t>Trips</t>
  </si>
  <si>
    <t>Tonnage</t>
  </si>
  <si>
    <t>Fuel Used (L)</t>
  </si>
  <si>
    <t>Missed Pickups</t>
  </si>
  <si>
    <t>Alimosho</t>
  </si>
  <si>
    <t>ALM-04</t>
  </si>
  <si>
    <t>999</t>
  </si>
  <si>
    <t>72.2</t>
  </si>
  <si>
    <t>ALM-02</t>
  </si>
  <si>
    <t>15.3</t>
  </si>
  <si>
    <t>72.7</t>
  </si>
  <si>
    <t>ALM-03</t>
  </si>
  <si>
    <t>28.7</t>
  </si>
  <si>
    <t>140.3</t>
  </si>
  <si>
    <t>207.4</t>
  </si>
  <si>
    <t>ALM-01</t>
  </si>
  <si>
    <t>12.3</t>
  </si>
  <si>
    <t>80.9</t>
  </si>
  <si>
    <t>Mushin</t>
  </si>
  <si>
    <t>MSH-03</t>
  </si>
  <si>
    <t>21.9</t>
  </si>
  <si>
    <t>33.9</t>
  </si>
  <si>
    <t>169.5</t>
  </si>
  <si>
    <t>MSH-01</t>
  </si>
  <si>
    <t>17.5</t>
  </si>
  <si>
    <t>76.3</t>
  </si>
  <si>
    <t>Badagry</t>
  </si>
  <si>
    <t>BDG-01</t>
  </si>
  <si>
    <t>18.6</t>
  </si>
  <si>
    <t>BDG-02</t>
  </si>
  <si>
    <t>7.5</t>
  </si>
  <si>
    <t>17.2</t>
  </si>
  <si>
    <t>193.3</t>
  </si>
  <si>
    <t xml:space="preserve"> Epe</t>
  </si>
  <si>
    <t>EPE-01</t>
  </si>
  <si>
    <t>8.2</t>
  </si>
  <si>
    <t>83.6</t>
  </si>
  <si>
    <t>Ikorodu</t>
  </si>
  <si>
    <t>IKD-02</t>
  </si>
  <si>
    <t>7.6</t>
  </si>
  <si>
    <t>91.4</t>
  </si>
  <si>
    <t>IKD-01</t>
  </si>
  <si>
    <t>20.7</t>
  </si>
  <si>
    <t/>
  </si>
  <si>
    <t>24.3</t>
  </si>
  <si>
    <t>172.7</t>
  </si>
  <si>
    <t>IKD-03</t>
  </si>
  <si>
    <t>16.9</t>
  </si>
  <si>
    <t>152.7</t>
  </si>
  <si>
    <t>mushin</t>
  </si>
  <si>
    <t>MSH-02</t>
  </si>
  <si>
    <t>18.4</t>
  </si>
  <si>
    <t>139.6</t>
  </si>
  <si>
    <t>Ikeja</t>
  </si>
  <si>
    <t>IKJ-03</t>
  </si>
  <si>
    <t>42.5</t>
  </si>
  <si>
    <t>245.3</t>
  </si>
  <si>
    <t>IKJ-02</t>
  </si>
  <si>
    <t>20.1</t>
  </si>
  <si>
    <t>117.5</t>
  </si>
  <si>
    <t>186.5</t>
  </si>
  <si>
    <t>IKJ-01</t>
  </si>
  <si>
    <t>32.1</t>
  </si>
  <si>
    <t>174.3</t>
  </si>
  <si>
    <t>25.4</t>
  </si>
  <si>
    <t>175.4</t>
  </si>
  <si>
    <t>Lekki</t>
  </si>
  <si>
    <t>LKK-02</t>
  </si>
  <si>
    <t>20.5</t>
  </si>
  <si>
    <t>181.9</t>
  </si>
  <si>
    <t>Epe</t>
  </si>
  <si>
    <t>22.9</t>
  </si>
  <si>
    <t>255.3</t>
  </si>
  <si>
    <t>6.8</t>
  </si>
  <si>
    <t>80.2</t>
  </si>
  <si>
    <t>73.4</t>
  </si>
  <si>
    <t>9.2</t>
  </si>
  <si>
    <t>115.3</t>
  </si>
  <si>
    <t>EPE-02</t>
  </si>
  <si>
    <t>19.2</t>
  </si>
  <si>
    <t>244.8</t>
  </si>
  <si>
    <t>19.9</t>
  </si>
  <si>
    <t>N/A</t>
  </si>
  <si>
    <t>7.9</t>
  </si>
  <si>
    <t>90.2</t>
  </si>
  <si>
    <t>Surulere</t>
  </si>
  <si>
    <t>SRL-01</t>
  </si>
  <si>
    <t>20.4</t>
  </si>
  <si>
    <t xml:space="preserve">Ikorodu </t>
  </si>
  <si>
    <t>21.1</t>
  </si>
  <si>
    <t>ALIMOSHO</t>
  </si>
  <si>
    <t>24.5</t>
  </si>
  <si>
    <t>167.4</t>
  </si>
  <si>
    <t>BADAGRY</t>
  </si>
  <si>
    <t>8</t>
  </si>
  <si>
    <t>74.9</t>
  </si>
  <si>
    <t>22.5</t>
  </si>
  <si>
    <t>119.1</t>
  </si>
  <si>
    <t>187.6</t>
  </si>
  <si>
    <t>50.7</t>
  </si>
  <si>
    <t>27.9</t>
  </si>
  <si>
    <t>207.5</t>
  </si>
  <si>
    <t>234.2</t>
  </si>
  <si>
    <t>135.6</t>
  </si>
  <si>
    <t>161.6</t>
  </si>
  <si>
    <t>10.4</t>
  </si>
  <si>
    <t>106.8</t>
  </si>
  <si>
    <t>13.8</t>
  </si>
  <si>
    <t>LKK-01</t>
  </si>
  <si>
    <t>42.7</t>
  </si>
  <si>
    <t>146.5</t>
  </si>
  <si>
    <t>18.9</t>
  </si>
  <si>
    <t>160.6</t>
  </si>
  <si>
    <t>IKEJA</t>
  </si>
  <si>
    <t>19.8</t>
  </si>
  <si>
    <t>126.7</t>
  </si>
  <si>
    <t>29.5</t>
  </si>
  <si>
    <t>144.4</t>
  </si>
  <si>
    <t>16.8</t>
  </si>
  <si>
    <t>253.9</t>
  </si>
  <si>
    <t>37.2</t>
  </si>
  <si>
    <t>206.2</t>
  </si>
  <si>
    <t>9.8</t>
  </si>
  <si>
    <t>93.1</t>
  </si>
  <si>
    <t>209.2</t>
  </si>
  <si>
    <t>14.2</t>
  </si>
  <si>
    <t>118.9</t>
  </si>
  <si>
    <t>15.1</t>
  </si>
  <si>
    <t>25.8</t>
  </si>
  <si>
    <t>223.8</t>
  </si>
  <si>
    <t>14.3</t>
  </si>
  <si>
    <t>178.2</t>
  </si>
  <si>
    <t>115.5</t>
  </si>
  <si>
    <t>163.1</t>
  </si>
  <si>
    <t>34.8</t>
  </si>
  <si>
    <t>235.1</t>
  </si>
  <si>
    <t>16.3</t>
  </si>
  <si>
    <t>179.2</t>
  </si>
  <si>
    <t>26.9</t>
  </si>
  <si>
    <t>115.7</t>
  </si>
  <si>
    <t>41.6</t>
  </si>
  <si>
    <t>235.4</t>
  </si>
  <si>
    <t>20.3</t>
  </si>
  <si>
    <t>182.1</t>
  </si>
  <si>
    <t>55.6</t>
  </si>
  <si>
    <t xml:space="preserve">Surulere </t>
  </si>
  <si>
    <t>SRL-02</t>
  </si>
  <si>
    <t>110.4</t>
  </si>
  <si>
    <t>105.9</t>
  </si>
  <si>
    <t>27.6</t>
  </si>
  <si>
    <t>122.5</t>
  </si>
  <si>
    <t>12.2</t>
  </si>
  <si>
    <t>83.4</t>
  </si>
  <si>
    <t>32.7</t>
  </si>
  <si>
    <t>245.2</t>
  </si>
  <si>
    <t>208.2</t>
  </si>
  <si>
    <t>14.4</t>
  </si>
  <si>
    <t>114.1</t>
  </si>
  <si>
    <t>13.9</t>
  </si>
  <si>
    <t>79.8</t>
  </si>
  <si>
    <t>28.3</t>
  </si>
  <si>
    <t>171.1</t>
  </si>
  <si>
    <t>200.5</t>
  </si>
  <si>
    <t>11.7</t>
  </si>
  <si>
    <t>80.3</t>
  </si>
  <si>
    <t>46.2</t>
  </si>
  <si>
    <t>badagry</t>
  </si>
  <si>
    <t>111.7</t>
  </si>
  <si>
    <t>24.4</t>
  </si>
  <si>
    <t>157.5</t>
  </si>
  <si>
    <t>15.7</t>
  </si>
  <si>
    <t>6.3</t>
  </si>
  <si>
    <t>82.7</t>
  </si>
  <si>
    <t>16.7</t>
  </si>
  <si>
    <t>130.3</t>
  </si>
  <si>
    <t>37.9</t>
  </si>
  <si>
    <t>272.3</t>
  </si>
  <si>
    <t>86.7</t>
  </si>
  <si>
    <t>surulere</t>
  </si>
  <si>
    <t>145.1</t>
  </si>
  <si>
    <t>29.4</t>
  </si>
  <si>
    <t>127.6</t>
  </si>
  <si>
    <t>22.3</t>
  </si>
  <si>
    <t>198.8</t>
  </si>
  <si>
    <t>13.1</t>
  </si>
  <si>
    <t>SRL-03</t>
  </si>
  <si>
    <t>35.5</t>
  </si>
  <si>
    <t>143.8</t>
  </si>
  <si>
    <t>19.6</t>
  </si>
  <si>
    <t>19.1</t>
  </si>
  <si>
    <t>221.4</t>
  </si>
  <si>
    <t>182.3</t>
  </si>
  <si>
    <t>23.5</t>
  </si>
  <si>
    <t>176.8</t>
  </si>
  <si>
    <t>116.7</t>
  </si>
  <si>
    <t>12.4</t>
  </si>
  <si>
    <t>75.5</t>
  </si>
  <si>
    <t>24.8</t>
  </si>
  <si>
    <t>187.9</t>
  </si>
  <si>
    <t>29.8</t>
  </si>
  <si>
    <t>71.6</t>
  </si>
  <si>
    <t>14.9</t>
  </si>
  <si>
    <t>83.7</t>
  </si>
  <si>
    <t>21.4</t>
  </si>
  <si>
    <t>106.6</t>
  </si>
  <si>
    <t>ikorodu</t>
  </si>
  <si>
    <t>17.1</t>
  </si>
  <si>
    <t>165.6</t>
  </si>
  <si>
    <t>103.8</t>
  </si>
  <si>
    <t>246.4</t>
  </si>
  <si>
    <t>102.7</t>
  </si>
  <si>
    <t>197.7</t>
  </si>
  <si>
    <t>20.8</t>
  </si>
  <si>
    <t>170.8</t>
  </si>
  <si>
    <t>226.9</t>
  </si>
  <si>
    <t>15.8</t>
  </si>
  <si>
    <t>117.4</t>
  </si>
  <si>
    <t>34.2</t>
  </si>
  <si>
    <t>165.2</t>
  </si>
  <si>
    <t>17.8 tons</t>
  </si>
  <si>
    <t>159.3</t>
  </si>
  <si>
    <t>20.9</t>
  </si>
  <si>
    <t>157.1</t>
  </si>
  <si>
    <t>30.8</t>
  </si>
  <si>
    <t>151.3</t>
  </si>
  <si>
    <t>11.1</t>
  </si>
  <si>
    <t>101.7</t>
  </si>
  <si>
    <t>7.8</t>
  </si>
  <si>
    <t>91.5</t>
  </si>
  <si>
    <t>12.5</t>
  </si>
  <si>
    <t>110.9</t>
  </si>
  <si>
    <t>135.2</t>
  </si>
  <si>
    <t>131.7</t>
  </si>
  <si>
    <t>12.1</t>
  </si>
  <si>
    <t>181.3</t>
  </si>
  <si>
    <t>220.6</t>
  </si>
  <si>
    <t>41.7</t>
  </si>
  <si>
    <t>99.6</t>
  </si>
  <si>
    <t>11.4</t>
  </si>
  <si>
    <t>81.6</t>
  </si>
  <si>
    <t>14.1</t>
  </si>
  <si>
    <t>150.1</t>
  </si>
  <si>
    <t>6.6</t>
  </si>
  <si>
    <t>74.7</t>
  </si>
  <si>
    <t>19.5</t>
  </si>
  <si>
    <t>81.5</t>
  </si>
  <si>
    <t>32.3</t>
  </si>
  <si>
    <t>235.8</t>
  </si>
  <si>
    <t>172.9</t>
  </si>
  <si>
    <t>125.3</t>
  </si>
  <si>
    <t>18.5</t>
  </si>
  <si>
    <t>34.5</t>
  </si>
  <si>
    <t>263.7</t>
  </si>
  <si>
    <t>170.5</t>
  </si>
  <si>
    <t>26.4</t>
  </si>
  <si>
    <t>109.7</t>
  </si>
  <si>
    <t>16.5</t>
  </si>
  <si>
    <t>147.5</t>
  </si>
  <si>
    <t>33.8</t>
  </si>
  <si>
    <t>288.9</t>
  </si>
  <si>
    <t>31.6</t>
  </si>
  <si>
    <t>192.9</t>
  </si>
  <si>
    <t>37.6</t>
  </si>
  <si>
    <t>156.1</t>
  </si>
  <si>
    <t>13.3</t>
  </si>
  <si>
    <t>74.3</t>
  </si>
  <si>
    <t>LEKKI</t>
  </si>
  <si>
    <t>118.2</t>
  </si>
  <si>
    <t>19.4</t>
  </si>
  <si>
    <t>241.8</t>
  </si>
  <si>
    <t>16.2</t>
  </si>
  <si>
    <t>83.8</t>
  </si>
  <si>
    <t>150.2</t>
  </si>
  <si>
    <t>140.1</t>
  </si>
  <si>
    <t>183.9</t>
  </si>
  <si>
    <t>9.9</t>
  </si>
  <si>
    <t>46.4</t>
  </si>
  <si>
    <t>MUSHIN</t>
  </si>
  <si>
    <t>73.5</t>
  </si>
  <si>
    <t>87.6</t>
  </si>
  <si>
    <t>26.1</t>
  </si>
  <si>
    <t>139.8</t>
  </si>
  <si>
    <t>145.8</t>
  </si>
  <si>
    <t>164.5</t>
  </si>
  <si>
    <t>44.7</t>
  </si>
  <si>
    <t>266.8</t>
  </si>
  <si>
    <t>24.6 tons</t>
  </si>
  <si>
    <t>168.4</t>
  </si>
  <si>
    <t>156.4</t>
  </si>
  <si>
    <t>ikeja</t>
  </si>
  <si>
    <t>220.8</t>
  </si>
  <si>
    <t>40.3</t>
  </si>
  <si>
    <t>256.3</t>
  </si>
  <si>
    <t>17.3</t>
  </si>
  <si>
    <t>122.7</t>
  </si>
  <si>
    <t>56.4</t>
  </si>
  <si>
    <t>203.5</t>
  </si>
  <si>
    <t>163.9</t>
  </si>
  <si>
    <t>38.7</t>
  </si>
  <si>
    <t>26.6 tons</t>
  </si>
  <si>
    <t>198.5</t>
  </si>
  <si>
    <t>119.4</t>
  </si>
  <si>
    <t>27.3</t>
  </si>
  <si>
    <t>147.8</t>
  </si>
  <si>
    <t>180.9</t>
  </si>
  <si>
    <t>18.8</t>
  </si>
  <si>
    <t>112.9</t>
  </si>
  <si>
    <t>11.8</t>
  </si>
  <si>
    <t>131.6</t>
  </si>
  <si>
    <t>15.6</t>
  </si>
  <si>
    <t>58.2</t>
  </si>
  <si>
    <t>47.1</t>
  </si>
  <si>
    <t>237.2</t>
  </si>
  <si>
    <t>154.6</t>
  </si>
  <si>
    <t>135.8</t>
  </si>
  <si>
    <t>7.4</t>
  </si>
  <si>
    <t>70.3</t>
  </si>
  <si>
    <t>208.9</t>
  </si>
  <si>
    <t xml:space="preserve"> Badagry</t>
  </si>
  <si>
    <t>14.7</t>
  </si>
  <si>
    <t>149.2</t>
  </si>
  <si>
    <t>39.8</t>
  </si>
  <si>
    <t>196.9</t>
  </si>
  <si>
    <t>56.6</t>
  </si>
  <si>
    <t>225.2</t>
  </si>
  <si>
    <t>139.1</t>
  </si>
  <si>
    <t>8.7</t>
  </si>
  <si>
    <t>86.2</t>
  </si>
  <si>
    <t>41.5</t>
  </si>
  <si>
    <t>188.3</t>
  </si>
  <si>
    <t>40.2</t>
  </si>
  <si>
    <t>22.8</t>
  </si>
  <si>
    <t>162.5</t>
  </si>
  <si>
    <t>47.2</t>
  </si>
  <si>
    <t>272.1</t>
  </si>
  <si>
    <t>197.9</t>
  </si>
  <si>
    <t>25.3</t>
  </si>
  <si>
    <t>133.2</t>
  </si>
  <si>
    <t>34.6</t>
  </si>
  <si>
    <t>183.3</t>
  </si>
  <si>
    <t>69.4</t>
  </si>
  <si>
    <t>185.5</t>
  </si>
  <si>
    <t>46.6</t>
  </si>
  <si>
    <t>240.2</t>
  </si>
  <si>
    <t>13.2</t>
  </si>
  <si>
    <t>11.9</t>
  </si>
  <si>
    <t>75.7</t>
  </si>
  <si>
    <t>17.9</t>
  </si>
  <si>
    <t>117.8</t>
  </si>
  <si>
    <t xml:space="preserve">Lekki </t>
  </si>
  <si>
    <t>27.8</t>
  </si>
  <si>
    <t>198.1</t>
  </si>
  <si>
    <t>15.4</t>
  </si>
  <si>
    <t>35.7</t>
  </si>
  <si>
    <t>257.3</t>
  </si>
  <si>
    <t>28.5</t>
  </si>
  <si>
    <t>254.7</t>
  </si>
  <si>
    <t>23.2</t>
  </si>
  <si>
    <t>107.6</t>
  </si>
  <si>
    <t>25.1</t>
  </si>
  <si>
    <t>252.8</t>
  </si>
  <si>
    <t>32.6</t>
  </si>
  <si>
    <t>214.7</t>
  </si>
  <si>
    <t>150.9</t>
  </si>
  <si>
    <t>IKORODU</t>
  </si>
  <si>
    <t>207.3</t>
  </si>
  <si>
    <t>38.1</t>
  </si>
  <si>
    <t>105.5</t>
  </si>
  <si>
    <t>23.9</t>
  </si>
  <si>
    <t>159.2</t>
  </si>
  <si>
    <t>32.4</t>
  </si>
  <si>
    <t>241.6</t>
  </si>
  <si>
    <t>56.5</t>
  </si>
  <si>
    <t>156.3</t>
  </si>
  <si>
    <t>46.3</t>
  </si>
  <si>
    <t>222.5</t>
  </si>
  <si>
    <t>38.6</t>
  </si>
  <si>
    <t>176.4</t>
  </si>
  <si>
    <t>184.9</t>
  </si>
  <si>
    <t>218.7</t>
  </si>
  <si>
    <t>109.3</t>
  </si>
  <si>
    <t>153.1</t>
  </si>
  <si>
    <t>163.5</t>
  </si>
  <si>
    <t>20.2</t>
  </si>
  <si>
    <t>125.7</t>
  </si>
  <si>
    <t>181.8</t>
  </si>
  <si>
    <t>SURULERE</t>
  </si>
  <si>
    <t>69.9</t>
  </si>
  <si>
    <t>76.1</t>
  </si>
  <si>
    <t>221.6</t>
  </si>
  <si>
    <t>38.4</t>
  </si>
  <si>
    <t>206.9</t>
  </si>
  <si>
    <t>31.4</t>
  </si>
  <si>
    <t>15.9</t>
  </si>
  <si>
    <t>71.4</t>
  </si>
  <si>
    <t>24.6</t>
  </si>
  <si>
    <t>211.9</t>
  </si>
  <si>
    <t>102.5</t>
  </si>
  <si>
    <t>35.1</t>
  </si>
  <si>
    <t>269.5</t>
  </si>
  <si>
    <t>23.4</t>
  </si>
  <si>
    <t>149.4</t>
  </si>
  <si>
    <t>22.6</t>
  </si>
  <si>
    <t>141.6</t>
  </si>
  <si>
    <t>83.5</t>
  </si>
  <si>
    <t>31.9</t>
  </si>
  <si>
    <t>50.1</t>
  </si>
  <si>
    <t>184.8</t>
  </si>
  <si>
    <t>203.4</t>
  </si>
  <si>
    <t>251.7</t>
  </si>
  <si>
    <t>226.5</t>
  </si>
  <si>
    <t>39.6</t>
  </si>
  <si>
    <t>167.6</t>
  </si>
  <si>
    <t>108.8</t>
  </si>
  <si>
    <t>26.7</t>
  </si>
  <si>
    <t>152.3</t>
  </si>
  <si>
    <t>40.1</t>
  </si>
  <si>
    <t>31.7</t>
  </si>
  <si>
    <t>180.5</t>
  </si>
  <si>
    <t>218.4</t>
  </si>
  <si>
    <t>110.5</t>
  </si>
  <si>
    <t>10.2</t>
  </si>
  <si>
    <t>58.7</t>
  </si>
  <si>
    <t>76.4</t>
  </si>
  <si>
    <t>111.2</t>
  </si>
  <si>
    <t>17.4</t>
  </si>
  <si>
    <t>114.2</t>
  </si>
  <si>
    <t>14.8</t>
  </si>
  <si>
    <t>131.3</t>
  </si>
  <si>
    <t>25.5</t>
  </si>
  <si>
    <t>112.7</t>
  </si>
  <si>
    <t>18.7</t>
  </si>
  <si>
    <t>173.3</t>
  </si>
  <si>
    <t>85.2</t>
  </si>
  <si>
    <t>169.7</t>
  </si>
  <si>
    <t>11.5</t>
  </si>
  <si>
    <t>134.7</t>
  </si>
  <si>
    <t>118.3</t>
  </si>
  <si>
    <t>28.4</t>
  </si>
  <si>
    <t>178.9</t>
  </si>
  <si>
    <t>36.6</t>
  </si>
  <si>
    <t>226.7</t>
  </si>
  <si>
    <t>65.9</t>
  </si>
  <si>
    <t>167.9</t>
  </si>
  <si>
    <t>109.8</t>
  </si>
  <si>
    <t>83.2</t>
  </si>
  <si>
    <t>213.1</t>
  </si>
  <si>
    <t>119.8</t>
  </si>
  <si>
    <t>69.3</t>
  </si>
  <si>
    <t xml:space="preserve"> Alimosho</t>
  </si>
  <si>
    <t>99.1</t>
  </si>
  <si>
    <t>5.4</t>
  </si>
  <si>
    <t>90.7</t>
  </si>
  <si>
    <t>165.3</t>
  </si>
  <si>
    <t>204.1</t>
  </si>
  <si>
    <t>146.8</t>
  </si>
  <si>
    <t>101.3</t>
  </si>
  <si>
    <t>141.9</t>
  </si>
  <si>
    <t>148.8</t>
  </si>
  <si>
    <t>64.5</t>
  </si>
  <si>
    <t>150.7</t>
  </si>
  <si>
    <t>81.2</t>
  </si>
  <si>
    <t>42.8</t>
  </si>
  <si>
    <t>247.2</t>
  </si>
  <si>
    <t>171.2</t>
  </si>
  <si>
    <t>37.3</t>
  </si>
  <si>
    <t>231.9</t>
  </si>
  <si>
    <t>113.2</t>
  </si>
  <si>
    <t>179.8</t>
  </si>
  <si>
    <t>21.3</t>
  </si>
  <si>
    <t>99.7</t>
  </si>
  <si>
    <t>57.7</t>
  </si>
  <si>
    <t>34.7</t>
  </si>
  <si>
    <t>168.7</t>
  </si>
  <si>
    <t>78.3</t>
  </si>
  <si>
    <t>138.9</t>
  </si>
  <si>
    <t>28.2</t>
  </si>
  <si>
    <t>173.6</t>
  </si>
  <si>
    <t>8.1</t>
  </si>
  <si>
    <t>89.5</t>
  </si>
  <si>
    <t>98.5</t>
  </si>
  <si>
    <t>121.3</t>
  </si>
  <si>
    <t>19.7</t>
  </si>
  <si>
    <t>25.9</t>
  </si>
  <si>
    <t>180.3</t>
  </si>
  <si>
    <t>42.1</t>
  </si>
  <si>
    <t>216.8</t>
  </si>
  <si>
    <t>158.7</t>
  </si>
  <si>
    <t>15.2</t>
  </si>
  <si>
    <t>166.3</t>
  </si>
  <si>
    <t>6.9</t>
  </si>
  <si>
    <t>75.2</t>
  </si>
  <si>
    <t>40.8</t>
  </si>
  <si>
    <t>124.6</t>
  </si>
  <si>
    <t>210.9</t>
  </si>
  <si>
    <t>23.3</t>
  </si>
  <si>
    <t>97.8</t>
  </si>
  <si>
    <t>182.6</t>
  </si>
  <si>
    <t>183.4</t>
  </si>
  <si>
    <t>186.4</t>
  </si>
  <si>
    <t xml:space="preserve"> Surulere</t>
  </si>
  <si>
    <t>103.1</t>
  </si>
  <si>
    <t>33.3</t>
  </si>
  <si>
    <t>191.1</t>
  </si>
  <si>
    <t>45.6</t>
  </si>
  <si>
    <t>245.1</t>
  </si>
  <si>
    <t>27.1</t>
  </si>
  <si>
    <t>22.4</t>
  </si>
  <si>
    <t>191.9</t>
  </si>
  <si>
    <t>158.8</t>
  </si>
  <si>
    <t>27.7</t>
  </si>
  <si>
    <t>163.8</t>
  </si>
  <si>
    <t>149.6</t>
  </si>
  <si>
    <t>35.2</t>
  </si>
  <si>
    <t>28.1</t>
  </si>
  <si>
    <t>224.3</t>
  </si>
  <si>
    <t>172.2</t>
  </si>
  <si>
    <t>197.5</t>
  </si>
  <si>
    <t>16.5 tons</t>
  </si>
  <si>
    <t>68.6</t>
  </si>
  <si>
    <t>66.2</t>
  </si>
  <si>
    <t>28.8 tons</t>
  </si>
  <si>
    <t>95.8</t>
  </si>
  <si>
    <t>23.1</t>
  </si>
  <si>
    <t>90.9</t>
  </si>
  <si>
    <t>73.6</t>
  </si>
  <si>
    <t>118.4</t>
  </si>
  <si>
    <t>165.8</t>
  </si>
  <si>
    <t>13.5</t>
  </si>
  <si>
    <t>70.1</t>
  </si>
  <si>
    <t>79.2</t>
  </si>
  <si>
    <t>43.4</t>
  </si>
  <si>
    <t>30.6</t>
  </si>
  <si>
    <t>173.7</t>
  </si>
  <si>
    <t>55.4</t>
  </si>
  <si>
    <t>209.3</t>
  </si>
  <si>
    <t>156.7</t>
  </si>
  <si>
    <t>169.1</t>
  </si>
  <si>
    <t>21.5</t>
  </si>
  <si>
    <t>267.7</t>
  </si>
  <si>
    <t>38.2</t>
  </si>
  <si>
    <t>37.1</t>
  </si>
  <si>
    <t>130.9</t>
  </si>
  <si>
    <t>210.5</t>
  </si>
  <si>
    <t>23.7</t>
  </si>
  <si>
    <t>264.9</t>
  </si>
  <si>
    <t>199.3</t>
  </si>
  <si>
    <t>13.6 tons</t>
  </si>
  <si>
    <t>102.4</t>
  </si>
  <si>
    <t>189.4</t>
  </si>
  <si>
    <t>107.1</t>
  </si>
  <si>
    <t>16.0 tons</t>
  </si>
  <si>
    <t>99.9</t>
  </si>
  <si>
    <t>117.3</t>
  </si>
  <si>
    <t>236.7</t>
  </si>
  <si>
    <t>124.7</t>
  </si>
  <si>
    <t>31.0 tons</t>
  </si>
  <si>
    <t>132.4</t>
  </si>
  <si>
    <t>217.7</t>
  </si>
  <si>
    <t>84.4</t>
  </si>
  <si>
    <t>97.9</t>
  </si>
  <si>
    <t>109.1</t>
  </si>
  <si>
    <t>203.3</t>
  </si>
  <si>
    <t>173.1</t>
  </si>
  <si>
    <t>259.3</t>
  </si>
  <si>
    <t>44.3</t>
  </si>
  <si>
    <t>201.7</t>
  </si>
  <si>
    <t>29.2</t>
  </si>
  <si>
    <t>80.4</t>
  </si>
  <si>
    <t>39.5</t>
  </si>
  <si>
    <t>211.2</t>
  </si>
  <si>
    <t>99.3</t>
  </si>
  <si>
    <t>29.3</t>
  </si>
  <si>
    <t>136.6</t>
  </si>
  <si>
    <t>32.4 tons</t>
  </si>
  <si>
    <t>28.8</t>
  </si>
  <si>
    <t>186.1</t>
  </si>
  <si>
    <t>24.2</t>
  </si>
  <si>
    <t>173.5</t>
  </si>
  <si>
    <t>12.9</t>
  </si>
  <si>
    <t>95.1</t>
  </si>
  <si>
    <t>93.2</t>
  </si>
  <si>
    <t>141.5</t>
  </si>
  <si>
    <t>146.7</t>
  </si>
  <si>
    <t>212.5</t>
  </si>
  <si>
    <t>11.6</t>
  </si>
  <si>
    <t>70.9</t>
  </si>
  <si>
    <t>9.5</t>
  </si>
  <si>
    <t>77.6</t>
  </si>
  <si>
    <t>61.8</t>
  </si>
  <si>
    <t>218.6</t>
  </si>
  <si>
    <t>201.4</t>
  </si>
  <si>
    <t>100.8</t>
  </si>
  <si>
    <t>72.1</t>
  </si>
  <si>
    <t>10.3 tons</t>
  </si>
  <si>
    <t>26.5</t>
  </si>
  <si>
    <t>14.6</t>
  </si>
  <si>
    <t>118.6</t>
  </si>
  <si>
    <t>EPE</t>
  </si>
  <si>
    <t>9.4</t>
  </si>
  <si>
    <t>112.6</t>
  </si>
  <si>
    <t>17.8</t>
  </si>
  <si>
    <t>74.1</t>
  </si>
  <si>
    <t>45.9</t>
  </si>
  <si>
    <t>258.9</t>
  </si>
  <si>
    <t>185.9</t>
  </si>
  <si>
    <t>271.2</t>
  </si>
  <si>
    <t>214.2</t>
  </si>
  <si>
    <t>32.9</t>
  </si>
  <si>
    <t>177.8</t>
  </si>
  <si>
    <t>222.2</t>
  </si>
  <si>
    <t>78.1</t>
  </si>
  <si>
    <t>104.1</t>
  </si>
  <si>
    <t>168.5</t>
  </si>
  <si>
    <t>233.5</t>
  </si>
  <si>
    <t>21.2</t>
  </si>
  <si>
    <t>107.9</t>
  </si>
  <si>
    <t>12.8</t>
  </si>
  <si>
    <t>43.1</t>
  </si>
  <si>
    <t>241.2</t>
  </si>
  <si>
    <t>187.7</t>
  </si>
  <si>
    <t>50.5</t>
  </si>
  <si>
    <t>237.3</t>
  </si>
  <si>
    <t>20.6</t>
  </si>
  <si>
    <t>242.6</t>
  </si>
  <si>
    <t>142.2</t>
  </si>
  <si>
    <t>221.5</t>
  </si>
  <si>
    <t>38.3</t>
  </si>
  <si>
    <t>21.8</t>
  </si>
  <si>
    <t>264.5</t>
  </si>
  <si>
    <t>43.6</t>
  </si>
  <si>
    <t>212.8</t>
  </si>
  <si>
    <t>111.6</t>
  </si>
  <si>
    <t>115.1</t>
  </si>
  <si>
    <t>209.5</t>
  </si>
  <si>
    <t>121.4</t>
  </si>
  <si>
    <t>34.1</t>
  </si>
  <si>
    <t>144.3</t>
  </si>
  <si>
    <t>96.2</t>
  </si>
  <si>
    <t>65.2</t>
  </si>
  <si>
    <t>122.8</t>
  </si>
  <si>
    <t>13.7</t>
  </si>
  <si>
    <t>41.4</t>
  </si>
  <si>
    <t>26.2</t>
  </si>
  <si>
    <t>157.2</t>
  </si>
  <si>
    <t>246.8</t>
  </si>
  <si>
    <t>215.5</t>
  </si>
  <si>
    <t>41.8</t>
  </si>
  <si>
    <t>89.1</t>
  </si>
  <si>
    <t>14.5</t>
  </si>
  <si>
    <t>13.6</t>
  </si>
  <si>
    <t>72.9</t>
  </si>
  <si>
    <t>12.7</t>
  </si>
  <si>
    <t>151.6</t>
  </si>
  <si>
    <t>180.2</t>
  </si>
  <si>
    <t>113.8</t>
  </si>
  <si>
    <t>79.9</t>
  </si>
  <si>
    <t>175.6</t>
  </si>
  <si>
    <t>153.4</t>
  </si>
  <si>
    <t>7.3</t>
  </si>
  <si>
    <t>228.9</t>
  </si>
  <si>
    <t>24.9</t>
  </si>
  <si>
    <t>108.4</t>
  </si>
  <si>
    <t>71.2</t>
  </si>
  <si>
    <t>176.3</t>
  </si>
  <si>
    <t>100.6</t>
  </si>
  <si>
    <t>10.5</t>
  </si>
  <si>
    <t>90.5</t>
  </si>
  <si>
    <t>21.7</t>
  </si>
  <si>
    <t>154.8</t>
  </si>
  <si>
    <t>31.5</t>
  </si>
  <si>
    <t>48.1</t>
  </si>
  <si>
    <t>244.3</t>
  </si>
  <si>
    <t>82.4</t>
  </si>
  <si>
    <t>142.3</t>
  </si>
  <si>
    <t>17.7</t>
  </si>
  <si>
    <t>92.3</t>
  </si>
  <si>
    <t>6</t>
  </si>
  <si>
    <t>65.4</t>
  </si>
  <si>
    <t>128.6</t>
  </si>
  <si>
    <t>230.5</t>
  </si>
  <si>
    <t>22.1</t>
  </si>
  <si>
    <t>124.8</t>
  </si>
  <si>
    <t>159.1</t>
  </si>
  <si>
    <t>8.3</t>
  </si>
  <si>
    <t>86.4</t>
  </si>
  <si>
    <t>30.4</t>
  </si>
  <si>
    <t>158.1</t>
  </si>
  <si>
    <t>116.6</t>
  </si>
  <si>
    <t>18.3</t>
  </si>
  <si>
    <t>142.4</t>
  </si>
  <si>
    <t>123.9</t>
  </si>
  <si>
    <t>230.4</t>
  </si>
  <si>
    <t>114.4</t>
  </si>
  <si>
    <t>151.1</t>
  </si>
  <si>
    <t>212.3</t>
  </si>
  <si>
    <t>85.7</t>
  </si>
  <si>
    <t>26.3</t>
  </si>
  <si>
    <t>231.3</t>
  </si>
  <si>
    <t>30.3</t>
  </si>
  <si>
    <t>72.6</t>
  </si>
  <si>
    <t>80.8</t>
  </si>
  <si>
    <t>40.7</t>
  </si>
  <si>
    <t>260.7</t>
  </si>
  <si>
    <t>177.2</t>
  </si>
  <si>
    <t>11.3</t>
  </si>
  <si>
    <t>74.4</t>
  </si>
  <si>
    <t>16.4</t>
  </si>
  <si>
    <t>102.6</t>
  </si>
  <si>
    <t>120.8</t>
  </si>
  <si>
    <t>188.1</t>
  </si>
  <si>
    <t>49.4</t>
  </si>
  <si>
    <t>309.3</t>
  </si>
  <si>
    <t>166.2</t>
  </si>
  <si>
    <t>85.4</t>
  </si>
  <si>
    <t>31.2</t>
  </si>
  <si>
    <t>136.9</t>
  </si>
  <si>
    <t>176.5</t>
  </si>
  <si>
    <t>175.1</t>
  </si>
  <si>
    <t>184.6</t>
  </si>
  <si>
    <t>72.5</t>
  </si>
  <si>
    <t>132.3</t>
  </si>
  <si>
    <t>8.4</t>
  </si>
  <si>
    <t>61.5</t>
  </si>
  <si>
    <t>152.6</t>
  </si>
  <si>
    <t>188.2</t>
  </si>
  <si>
    <t>57.1</t>
  </si>
  <si>
    <t>41.2</t>
  </si>
  <si>
    <t>179.3</t>
  </si>
  <si>
    <t xml:space="preserve"> Lekki</t>
  </si>
  <si>
    <t>184.3</t>
  </si>
  <si>
    <t>25.4 tons</t>
  </si>
  <si>
    <t>155.9</t>
  </si>
  <si>
    <t>46.8</t>
  </si>
  <si>
    <t>205.8</t>
  </si>
  <si>
    <t>10.6</t>
  </si>
  <si>
    <t>68.1</t>
  </si>
  <si>
    <t>136.7</t>
  </si>
  <si>
    <t>8.9</t>
  </si>
  <si>
    <t>88.6</t>
  </si>
  <si>
    <t>26.8</t>
  </si>
  <si>
    <t>259.7</t>
  </si>
  <si>
    <t>7.7</t>
  </si>
  <si>
    <t>10.8</t>
  </si>
  <si>
    <t>110.7</t>
  </si>
  <si>
    <t>30.5</t>
  </si>
  <si>
    <t>295.3</t>
  </si>
  <si>
    <t>30.0 tons</t>
  </si>
  <si>
    <t>187.8</t>
  </si>
  <si>
    <t>36.5</t>
  </si>
  <si>
    <t>159.6</t>
  </si>
  <si>
    <t>219.8</t>
  </si>
  <si>
    <t>167.3</t>
  </si>
  <si>
    <t>229.5</t>
  </si>
  <si>
    <t>21.6</t>
  </si>
  <si>
    <t>36.9</t>
  </si>
  <si>
    <t>136.8</t>
  </si>
  <si>
    <t>204.4</t>
  </si>
  <si>
    <t>15.0 tons</t>
  </si>
  <si>
    <t>9.6</t>
  </si>
  <si>
    <t>84.2</t>
  </si>
  <si>
    <t>85.6</t>
  </si>
  <si>
    <t>198.2</t>
  </si>
  <si>
    <t>213.5</t>
  </si>
  <si>
    <t>26.6</t>
  </si>
  <si>
    <t>114.9</t>
  </si>
  <si>
    <t>131.8</t>
  </si>
  <si>
    <t xml:space="preserve">Ikeja </t>
  </si>
  <si>
    <t>87.4</t>
  </si>
  <si>
    <t>153.5</t>
  </si>
  <si>
    <t>37.5</t>
  </si>
  <si>
    <t>276.2</t>
  </si>
  <si>
    <t>23.6</t>
  </si>
  <si>
    <t>156.5</t>
  </si>
  <si>
    <t>133.7</t>
  </si>
  <si>
    <t>22.7</t>
  </si>
  <si>
    <t>107.2</t>
  </si>
  <si>
    <t>150.3</t>
  </si>
  <si>
    <t>257.9</t>
  </si>
  <si>
    <t>167.7</t>
  </si>
  <si>
    <t>116.4</t>
  </si>
  <si>
    <t>218.3</t>
  </si>
  <si>
    <t>77.3</t>
  </si>
  <si>
    <t>143.5</t>
  </si>
  <si>
    <t>22.2</t>
  </si>
  <si>
    <t>152.9</t>
  </si>
  <si>
    <t>174.7</t>
  </si>
  <si>
    <t>24.7</t>
  </si>
  <si>
    <t>38.5</t>
  </si>
  <si>
    <t>223.6</t>
  </si>
  <si>
    <t>39.3</t>
  </si>
  <si>
    <t>171.5</t>
  </si>
  <si>
    <t>74.8</t>
  </si>
  <si>
    <t>30.9</t>
  </si>
  <si>
    <t>222.7</t>
  </si>
  <si>
    <t>187.4</t>
  </si>
  <si>
    <t>71.9</t>
  </si>
  <si>
    <t>156.9</t>
  </si>
  <si>
    <t>87.1</t>
  </si>
  <si>
    <t>95.3</t>
  </si>
  <si>
    <t>91.8</t>
  </si>
  <si>
    <t>66.9</t>
  </si>
  <si>
    <t>123.7</t>
  </si>
  <si>
    <t>69.1</t>
  </si>
  <si>
    <t>186.7</t>
  </si>
  <si>
    <t>144.9</t>
  </si>
  <si>
    <t>31.8</t>
  </si>
  <si>
    <t>212.2</t>
  </si>
  <si>
    <t>173.9</t>
  </si>
  <si>
    <t>120.4</t>
  </si>
  <si>
    <t>25.2</t>
  </si>
  <si>
    <t>141.4</t>
  </si>
  <si>
    <t>128.8</t>
  </si>
  <si>
    <t>216.1</t>
  </si>
  <si>
    <t>220.4</t>
  </si>
  <si>
    <t>218.1</t>
  </si>
  <si>
    <t>138.5</t>
  </si>
  <si>
    <t>236.5</t>
  </si>
  <si>
    <t>151.5</t>
  </si>
  <si>
    <t>140.7</t>
  </si>
  <si>
    <t>25.6</t>
  </si>
  <si>
    <t>171.4</t>
  </si>
  <si>
    <t>147.6</t>
  </si>
  <si>
    <t>104.6</t>
  </si>
  <si>
    <t>78.7</t>
  </si>
  <si>
    <t>207.2</t>
  </si>
  <si>
    <t>136.3</t>
  </si>
  <si>
    <t>lekki</t>
  </si>
  <si>
    <t>247.4</t>
  </si>
  <si>
    <t>149.7</t>
  </si>
  <si>
    <t>7</t>
  </si>
  <si>
    <t>59.8</t>
  </si>
  <si>
    <t>174.2</t>
  </si>
  <si>
    <t>76.7</t>
  </si>
  <si>
    <t>228.3</t>
  </si>
  <si>
    <t>187.1</t>
  </si>
  <si>
    <t>155.4</t>
  </si>
  <si>
    <t>81.8</t>
  </si>
  <si>
    <t>189.3</t>
  </si>
  <si>
    <t>157.9</t>
  </si>
  <si>
    <t>9.1</t>
  </si>
  <si>
    <t>62.1</t>
  </si>
  <si>
    <t>265.8</t>
  </si>
  <si>
    <t>86.5</t>
  </si>
  <si>
    <t>61.1</t>
  </si>
  <si>
    <t>132.8</t>
  </si>
  <si>
    <t>29.9</t>
  </si>
  <si>
    <t>121.1</t>
  </si>
  <si>
    <t>215.1</t>
  </si>
  <si>
    <t>73.9</t>
  </si>
  <si>
    <t>90.4</t>
  </si>
  <si>
    <t>7.2</t>
  </si>
  <si>
    <t>94.9</t>
  </si>
  <si>
    <t>184.1</t>
  </si>
  <si>
    <t>108.1</t>
  </si>
  <si>
    <t>160.8</t>
  </si>
  <si>
    <t>69.8</t>
  </si>
  <si>
    <t>189.6</t>
  </si>
  <si>
    <t>140.8</t>
  </si>
  <si>
    <t>11.8 tons</t>
  </si>
  <si>
    <t>84.1</t>
  </si>
  <si>
    <t>178.4</t>
  </si>
  <si>
    <t>194.7</t>
  </si>
  <si>
    <t>229.8</t>
  </si>
  <si>
    <t>97.7</t>
  </si>
  <si>
    <t>66.5</t>
  </si>
  <si>
    <t>23.8</t>
  </si>
  <si>
    <t xml:space="preserve">Mushin </t>
  </si>
  <si>
    <t>39.4</t>
  </si>
  <si>
    <t>161.4</t>
  </si>
  <si>
    <t>151.8</t>
  </si>
  <si>
    <t>12.5 tons</t>
  </si>
  <si>
    <t>28.9</t>
  </si>
  <si>
    <t>159.8</t>
  </si>
  <si>
    <t>116.5</t>
  </si>
  <si>
    <t>118.5</t>
  </si>
  <si>
    <t>192.2</t>
  </si>
  <si>
    <t>70.6</t>
  </si>
  <si>
    <t>111.1</t>
  </si>
  <si>
    <t>196.6</t>
  </si>
  <si>
    <t>213.4</t>
  </si>
  <si>
    <t>160.4</t>
  </si>
  <si>
    <t>88.9</t>
  </si>
  <si>
    <t>170.7</t>
  </si>
  <si>
    <t>32.1 tons</t>
  </si>
  <si>
    <t>222.4</t>
  </si>
  <si>
    <t>65.7</t>
  </si>
  <si>
    <t>45.3</t>
  </si>
  <si>
    <t>225.1</t>
  </si>
  <si>
    <t>203.9</t>
  </si>
  <si>
    <t>10.7</t>
  </si>
  <si>
    <t>178.5</t>
  </si>
  <si>
    <t>179.5</t>
  </si>
  <si>
    <t>160.7</t>
  </si>
  <si>
    <t>57.5</t>
  </si>
  <si>
    <t>26.4 tons</t>
  </si>
  <si>
    <t>63.4</t>
  </si>
  <si>
    <t>224.2</t>
  </si>
  <si>
    <t>188.7</t>
  </si>
  <si>
    <t>35.6</t>
  </si>
  <si>
    <t>199.6</t>
  </si>
  <si>
    <t>212.4</t>
  </si>
  <si>
    <t>110.3</t>
  </si>
  <si>
    <t>106.9</t>
  </si>
  <si>
    <t>9.7</t>
  </si>
  <si>
    <t>196.7</t>
  </si>
  <si>
    <t>30.1</t>
  </si>
  <si>
    <t>242.1</t>
  </si>
  <si>
    <t>52.4</t>
  </si>
  <si>
    <t>8.8</t>
  </si>
  <si>
    <t>100.5</t>
  </si>
  <si>
    <t>145.9</t>
  </si>
  <si>
    <t>18.1</t>
  </si>
  <si>
    <t>79.7</t>
  </si>
  <si>
    <t>12.6</t>
  </si>
  <si>
    <t>75.8</t>
  </si>
  <si>
    <t>75.4</t>
  </si>
  <si>
    <t>135.9</t>
  </si>
  <si>
    <t>6.5</t>
  </si>
  <si>
    <t>52.3</t>
  </si>
  <si>
    <t>241.9</t>
  </si>
  <si>
    <t>40.9</t>
  </si>
  <si>
    <t>189.7</t>
  </si>
  <si>
    <t>5.3</t>
  </si>
  <si>
    <t>58.8</t>
  </si>
  <si>
    <t>81.1</t>
  </si>
  <si>
    <t>112.3</t>
  </si>
  <si>
    <t>224.5</t>
  </si>
  <si>
    <t>215.7</t>
  </si>
  <si>
    <t>285.8</t>
  </si>
  <si>
    <t>13.4</t>
  </si>
  <si>
    <t>244.9</t>
  </si>
  <si>
    <t>169.9</t>
  </si>
  <si>
    <t>219.6</t>
  </si>
  <si>
    <t>286.5</t>
  </si>
  <si>
    <t>8.6</t>
  </si>
  <si>
    <t>165.5</t>
  </si>
  <si>
    <t>199.2</t>
  </si>
  <si>
    <t>105.6</t>
  </si>
  <si>
    <t>161.9</t>
  </si>
  <si>
    <t>204.9</t>
  </si>
  <si>
    <t>19.1 tons</t>
  </si>
  <si>
    <t>97.3</t>
  </si>
  <si>
    <t>191.7</t>
  </si>
  <si>
    <t>33.2</t>
  </si>
  <si>
    <t>161.7</t>
  </si>
  <si>
    <t>43.8</t>
  </si>
  <si>
    <t>202.8</t>
  </si>
  <si>
    <t>204.3</t>
  </si>
  <si>
    <t>168.8</t>
  </si>
  <si>
    <t>117.2</t>
  </si>
  <si>
    <t>65.1</t>
  </si>
  <si>
    <t>193.5</t>
  </si>
  <si>
    <t>163.6</t>
  </si>
  <si>
    <t>238.7</t>
  </si>
  <si>
    <t>214.8</t>
  </si>
  <si>
    <t>217.5</t>
  </si>
  <si>
    <t>275.2</t>
  </si>
  <si>
    <t>45.4</t>
  </si>
  <si>
    <t>245.7</t>
  </si>
  <si>
    <t>10.8 tons</t>
  </si>
  <si>
    <t>31.1</t>
  </si>
  <si>
    <t>150.5</t>
  </si>
  <si>
    <t>10.1</t>
  </si>
  <si>
    <t>131.1</t>
  </si>
  <si>
    <t>29.1</t>
  </si>
  <si>
    <t>134.9</t>
  </si>
  <si>
    <t>10.9</t>
  </si>
  <si>
    <t>62.6</t>
  </si>
  <si>
    <t>174.5</t>
  </si>
  <si>
    <t>115.4</t>
  </si>
  <si>
    <t>58.4</t>
  </si>
  <si>
    <t>97.1</t>
  </si>
  <si>
    <t>233.1</t>
  </si>
  <si>
    <t>37.4</t>
  </si>
  <si>
    <t>71.3</t>
  </si>
  <si>
    <t>194.9</t>
  </si>
  <si>
    <t>108.3</t>
  </si>
  <si>
    <t>229.1</t>
  </si>
  <si>
    <t>63.9</t>
  </si>
  <si>
    <t>129.4</t>
  </si>
  <si>
    <t>43.3</t>
  </si>
  <si>
    <t>8.5</t>
  </si>
  <si>
    <t>69.7</t>
  </si>
  <si>
    <t>101.8</t>
  </si>
  <si>
    <t>33.1</t>
  </si>
  <si>
    <t>173.4</t>
  </si>
  <si>
    <t>82.1</t>
  </si>
  <si>
    <t>32.2</t>
  </si>
  <si>
    <t>48.8</t>
  </si>
  <si>
    <t>267.3</t>
  </si>
  <si>
    <t>23.0 tons</t>
  </si>
  <si>
    <t>208.7</t>
  </si>
  <si>
    <t>248.7</t>
  </si>
  <si>
    <t>93.7</t>
  </si>
  <si>
    <t>47.5</t>
  </si>
  <si>
    <t>225.6</t>
  </si>
  <si>
    <t>60.7</t>
  </si>
  <si>
    <t>279.7</t>
  </si>
  <si>
    <t>133.5</t>
  </si>
  <si>
    <t>158.6</t>
  </si>
  <si>
    <t>126.8</t>
  </si>
  <si>
    <t>91.7</t>
  </si>
  <si>
    <t>50.2</t>
  </si>
  <si>
    <t>207.6</t>
  </si>
  <si>
    <t>224.8</t>
  </si>
  <si>
    <t>34.9</t>
  </si>
  <si>
    <t>188.5</t>
  </si>
  <si>
    <t>200.1</t>
  </si>
  <si>
    <t>95.2</t>
  </si>
  <si>
    <t>34.4</t>
  </si>
  <si>
    <t>230.1</t>
  </si>
  <si>
    <t>88.5</t>
  </si>
  <si>
    <t>67.7</t>
  </si>
  <si>
    <t>73.1</t>
  </si>
  <si>
    <t>178.8</t>
  </si>
  <si>
    <t>27.4</t>
  </si>
  <si>
    <t>119.2</t>
  </si>
  <si>
    <t>204.7</t>
  </si>
  <si>
    <t>133.1</t>
  </si>
  <si>
    <t>201.8</t>
  </si>
  <si>
    <t>87.5</t>
  </si>
  <si>
    <t>131.4</t>
  </si>
  <si>
    <t>50.4</t>
  </si>
  <si>
    <t>175.8</t>
  </si>
  <si>
    <t>145.3</t>
  </si>
  <si>
    <t>146.9</t>
  </si>
  <si>
    <t>162.7</t>
  </si>
  <si>
    <t>79.1</t>
  </si>
  <si>
    <t>119.9</t>
  </si>
  <si>
    <t>98.8</t>
  </si>
  <si>
    <t>169.4</t>
  </si>
  <si>
    <t>154.9</t>
  </si>
  <si>
    <t>145.4</t>
  </si>
  <si>
    <t>83.1</t>
  </si>
  <si>
    <t>254.3</t>
  </si>
  <si>
    <t>77.8</t>
  </si>
  <si>
    <t>168.1</t>
  </si>
  <si>
    <t>241.4</t>
  </si>
  <si>
    <t>194.5</t>
  </si>
  <si>
    <t>106.3</t>
  </si>
  <si>
    <t>37.3 tons</t>
  </si>
  <si>
    <t>235.2</t>
  </si>
  <si>
    <t>77.1</t>
  </si>
  <si>
    <t>67.9</t>
  </si>
  <si>
    <t>167.5</t>
  </si>
  <si>
    <t>157.6</t>
  </si>
  <si>
    <t>24.1 tons</t>
  </si>
  <si>
    <t>6.2</t>
  </si>
  <si>
    <t>101.5</t>
  </si>
  <si>
    <t>152.5</t>
  </si>
  <si>
    <t>45.8</t>
  </si>
  <si>
    <t>251.1</t>
  </si>
  <si>
    <t xml:space="preserve"> Ikorodu</t>
  </si>
  <si>
    <t>25.7</t>
  </si>
  <si>
    <t>198.4</t>
  </si>
  <si>
    <t>29.7</t>
  </si>
  <si>
    <t>216.9</t>
  </si>
  <si>
    <t>169.2</t>
  </si>
  <si>
    <t>191.4</t>
  </si>
  <si>
    <t>186.8</t>
  </si>
  <si>
    <t>237.1</t>
  </si>
  <si>
    <t>159.5</t>
  </si>
  <si>
    <t>244.5</t>
  </si>
  <si>
    <t>8.2 tons</t>
  </si>
  <si>
    <t>73.3</t>
  </si>
  <si>
    <t>5.5</t>
  </si>
  <si>
    <t>62.2</t>
  </si>
  <si>
    <t>66.8</t>
  </si>
  <si>
    <t>29.6</t>
  </si>
  <si>
    <t>254.1</t>
  </si>
  <si>
    <t>193.4</t>
  </si>
  <si>
    <t>111.3</t>
  </si>
  <si>
    <t>66.3</t>
  </si>
  <si>
    <t>132.6</t>
  </si>
  <si>
    <t>121.9</t>
  </si>
  <si>
    <t>6.1</t>
  </si>
  <si>
    <t>61.3</t>
  </si>
  <si>
    <t>11.2</t>
  </si>
  <si>
    <t>49.5</t>
  </si>
  <si>
    <t>253.2</t>
  </si>
  <si>
    <t>117.9</t>
  </si>
  <si>
    <t>105.3</t>
  </si>
  <si>
    <t>229.2</t>
  </si>
  <si>
    <t>248.8</t>
  </si>
  <si>
    <t>267.2</t>
  </si>
  <si>
    <t>Column</t>
  </si>
  <si>
    <t>planned fix and why</t>
  </si>
  <si>
    <t>Problem found</t>
  </si>
  <si>
    <t xml:space="preserve">How many </t>
  </si>
  <si>
    <t>Zones</t>
  </si>
  <si>
    <t>Goal: find which zone collect the least waste per truck trip</t>
  </si>
  <si>
    <t>text</t>
  </si>
  <si>
    <t>whole number</t>
  </si>
  <si>
    <t>Q3:which zones have the highest missed pickup rate?</t>
  </si>
  <si>
    <t>2</t>
  </si>
  <si>
    <t>0</t>
  </si>
  <si>
    <t>4</t>
  </si>
  <si>
    <t>3</t>
  </si>
  <si>
    <t>1</t>
  </si>
  <si>
    <t>5</t>
  </si>
  <si>
    <t>12-Oct-25</t>
  </si>
  <si>
    <t>11-Jul-25</t>
  </si>
  <si>
    <t>23-Oct-25</t>
  </si>
  <si>
    <t>26-Apr-25</t>
  </si>
  <si>
    <t>23-Jan-25</t>
  </si>
  <si>
    <t>25-Dec-25</t>
  </si>
  <si>
    <t>28/07/2025</t>
  </si>
  <si>
    <t>10-Oct-25</t>
  </si>
  <si>
    <t>15-Mar-25</t>
  </si>
  <si>
    <t>12/12/2025</t>
  </si>
  <si>
    <t>18/11/2025</t>
  </si>
  <si>
    <t>20-Jan-25</t>
  </si>
  <si>
    <t>11-Jun-25</t>
  </si>
  <si>
    <t>14/04/2025</t>
  </si>
  <si>
    <t>24/09/2025</t>
  </si>
  <si>
    <t>19/09/2025</t>
  </si>
  <si>
    <t>13/07/2025</t>
  </si>
  <si>
    <t>30/08/2025</t>
  </si>
  <si>
    <t>10-Jun-25</t>
  </si>
  <si>
    <t>14-May-25</t>
  </si>
  <si>
    <t>25-May-25</t>
  </si>
  <si>
    <t>26-Feb-25</t>
  </si>
  <si>
    <t>26/07/2025</t>
  </si>
  <si>
    <t xml:space="preserve">Epe </t>
  </si>
  <si>
    <t xml:space="preserve">Badagry </t>
  </si>
  <si>
    <t>139.7</t>
  </si>
  <si>
    <t xml:space="preserve">Alimosho </t>
  </si>
  <si>
    <t>133.3</t>
  </si>
  <si>
    <t xml:space="preserve"> Ikeja</t>
  </si>
  <si>
    <t>epe</t>
  </si>
  <si>
    <t>16.1</t>
  </si>
  <si>
    <t>155.1</t>
  </si>
  <si>
    <t>alimosho</t>
  </si>
  <si>
    <t>number(tons)</t>
  </si>
  <si>
    <t>number (litres)</t>
  </si>
  <si>
    <t>Missed pickups</t>
  </si>
  <si>
    <t>Rows entered twice</t>
  </si>
  <si>
    <t>Same zones spelled many ways (cases and spaces)</t>
  </si>
  <si>
    <t>Text like "17.8 tons"</t>
  </si>
  <si>
    <t>Blank</t>
  </si>
  <si>
    <t>999 typo</t>
  </si>
  <si>
    <t>Blank or N/A</t>
  </si>
  <si>
    <t>Fuel used</t>
  </si>
  <si>
    <t>Truck IDs</t>
  </si>
  <si>
    <t>3 different formats</t>
  </si>
  <si>
    <t>30 copies</t>
  </si>
  <si>
    <t>96.0</t>
  </si>
  <si>
    <t>154.0</t>
  </si>
  <si>
    <t>65.0</t>
  </si>
  <si>
    <t>131.0</t>
  </si>
  <si>
    <t>39.0</t>
  </si>
  <si>
    <t>9.0</t>
  </si>
  <si>
    <t>192.0</t>
  </si>
  <si>
    <t>8.0</t>
  </si>
  <si>
    <t>213.0</t>
  </si>
  <si>
    <t>34.0</t>
  </si>
  <si>
    <t>11.0</t>
  </si>
  <si>
    <t>29.0</t>
  </si>
  <si>
    <t>164.0</t>
  </si>
  <si>
    <t>12.0</t>
  </si>
  <si>
    <t>14.0</t>
  </si>
  <si>
    <t>206.0</t>
  </si>
  <si>
    <t>17.0</t>
  </si>
  <si>
    <t>186.0</t>
  </si>
  <si>
    <t>15.0</t>
  </si>
  <si>
    <t>156.0</t>
  </si>
  <si>
    <t>198.0</t>
  </si>
  <si>
    <t>161.0</t>
  </si>
  <si>
    <t>202.0</t>
  </si>
  <si>
    <t>236.0</t>
  </si>
  <si>
    <t>52.0</t>
  </si>
  <si>
    <t>79.0</t>
  </si>
  <si>
    <t>19.0</t>
  </si>
  <si>
    <t>142.0</t>
  </si>
  <si>
    <t>30.0</t>
  </si>
  <si>
    <t>21.0</t>
  </si>
  <si>
    <t>204.0</t>
  </si>
  <si>
    <t>237.0</t>
  </si>
  <si>
    <t>195.0</t>
  </si>
  <si>
    <t>44.0</t>
  </si>
  <si>
    <t>24.0</t>
  </si>
  <si>
    <t>73.0</t>
  </si>
  <si>
    <t>25.0</t>
  </si>
  <si>
    <t>139.0</t>
  </si>
  <si>
    <t>77.0</t>
  </si>
  <si>
    <t>193.0</t>
  </si>
  <si>
    <t>37.0</t>
  </si>
  <si>
    <t>18.0</t>
  </si>
  <si>
    <t>113.0</t>
  </si>
  <si>
    <t>169.0</t>
  </si>
  <si>
    <t>170.0</t>
  </si>
  <si>
    <t>148.0</t>
  </si>
  <si>
    <t>22.0</t>
  </si>
  <si>
    <t>122.0</t>
  </si>
  <si>
    <t>93.0</t>
  </si>
  <si>
    <t>10.0</t>
  </si>
  <si>
    <t>16.0</t>
  </si>
  <si>
    <t>254.0</t>
  </si>
  <si>
    <t>26.0</t>
  </si>
  <si>
    <t>27.0</t>
  </si>
  <si>
    <t>23.0</t>
  </si>
  <si>
    <t>28.0</t>
  </si>
  <si>
    <t>209.0</t>
  </si>
  <si>
    <t>33.0</t>
  </si>
  <si>
    <t>253.0</t>
  </si>
  <si>
    <t>80.0</t>
  </si>
  <si>
    <t>45.0</t>
  </si>
  <si>
    <t>227.0</t>
  </si>
  <si>
    <t>134.0</t>
  </si>
  <si>
    <t>219.0</t>
  </si>
  <si>
    <t>31.0</t>
  </si>
  <si>
    <t>42.0</t>
  </si>
  <si>
    <t>247.0</t>
  </si>
  <si>
    <t>153.0</t>
  </si>
  <si>
    <t>48.0</t>
  </si>
  <si>
    <t>129.0</t>
  </si>
  <si>
    <t>106.0</t>
  </si>
  <si>
    <t>13.0</t>
  </si>
  <si>
    <t>63.0</t>
  </si>
  <si>
    <t>145.0</t>
  </si>
  <si>
    <t>124.0</t>
  </si>
  <si>
    <t>137.0</t>
  </si>
  <si>
    <t>114.0</t>
  </si>
  <si>
    <t>6.0</t>
  </si>
  <si>
    <t>210.0</t>
  </si>
  <si>
    <t>177.0</t>
  </si>
  <si>
    <t>238.0</t>
  </si>
  <si>
    <t>174.0</t>
  </si>
  <si>
    <t>83.0</t>
  </si>
  <si>
    <t>208.0</t>
  </si>
  <si>
    <t>76.0</t>
  </si>
  <si>
    <t>78.0</t>
  </si>
  <si>
    <t>43.0</t>
  </si>
  <si>
    <t>40.0</t>
  </si>
  <si>
    <t>205.0</t>
  </si>
  <si>
    <t>188.0</t>
  </si>
  <si>
    <t>319.0</t>
  </si>
  <si>
    <t>90.0</t>
  </si>
  <si>
    <t>109.0</t>
  </si>
  <si>
    <t>215.0</t>
  </si>
  <si>
    <t>248.0</t>
  </si>
  <si>
    <t>75.0</t>
  </si>
  <si>
    <t>119.0</t>
  </si>
  <si>
    <t>7.0</t>
  </si>
  <si>
    <t>20.0</t>
  </si>
  <si>
    <t>189.0</t>
  </si>
  <si>
    <t>100.0</t>
  </si>
  <si>
    <t>224.0</t>
  </si>
  <si>
    <t>230.0</t>
  </si>
  <si>
    <t>92.0</t>
  </si>
  <si>
    <t>128.0</t>
  </si>
  <si>
    <t>182.0</t>
  </si>
  <si>
    <t>74.0</t>
  </si>
  <si>
    <t>214.0</t>
  </si>
  <si>
    <t>32.0</t>
  </si>
  <si>
    <t>132.0</t>
  </si>
  <si>
    <t>69.0</t>
  </si>
  <si>
    <t>84.0</t>
  </si>
  <si>
    <t>125.0</t>
  </si>
  <si>
    <t>35.0</t>
  </si>
  <si>
    <t>241.0</t>
  </si>
  <si>
    <t>229.0</t>
  </si>
  <si>
    <t>216.0</t>
  </si>
  <si>
    <t>36.0</t>
  </si>
  <si>
    <t>81.0</t>
  </si>
  <si>
    <t>2025-01-22</t>
  </si>
  <si>
    <t>2025-07-09</t>
  </si>
  <si>
    <t>2025-03-10</t>
  </si>
  <si>
    <t>2025-05-25</t>
  </si>
  <si>
    <t>2025-11-02</t>
  </si>
  <si>
    <t>2025-02-04</t>
  </si>
  <si>
    <t>2025-08-09</t>
  </si>
  <si>
    <t>2025-07-27</t>
  </si>
  <si>
    <t>2025-06-17</t>
  </si>
  <si>
    <t>2025-03-04</t>
  </si>
  <si>
    <t>2025-06-07</t>
  </si>
  <si>
    <t>2025-04-11</t>
  </si>
  <si>
    <t>2025-06-02</t>
  </si>
  <si>
    <t>2025-03-09</t>
  </si>
  <si>
    <t>2025-02-21</t>
  </si>
  <si>
    <t>2025-11-30</t>
  </si>
  <si>
    <t>2025-11-22</t>
  </si>
  <si>
    <t>2025-07-04</t>
  </si>
  <si>
    <t>2025-02-26</t>
  </si>
  <si>
    <t>2025-11-12</t>
  </si>
  <si>
    <t>2025-05-24</t>
  </si>
  <si>
    <t>2025-06-09</t>
  </si>
  <si>
    <t>2025-01-09</t>
  </si>
  <si>
    <t>2025-11-21</t>
  </si>
  <si>
    <t>2025-02-28</t>
  </si>
  <si>
    <t>2025-01-23</t>
  </si>
  <si>
    <t>2025-02-25</t>
  </si>
  <si>
    <t>2025-10-29</t>
  </si>
  <si>
    <t>2025-09-17</t>
  </si>
  <si>
    <t>2025-09-25</t>
  </si>
  <si>
    <t>2025-03-15</t>
  </si>
  <si>
    <t>2025-04-30</t>
  </si>
  <si>
    <t>2025-04-28</t>
  </si>
  <si>
    <t>2025-01-08</t>
  </si>
  <si>
    <t>2025-01-31</t>
  </si>
  <si>
    <t>2025-02-09</t>
  </si>
  <si>
    <t>2025-02-24</t>
  </si>
  <si>
    <t>2025-03-11</t>
  </si>
  <si>
    <t>2025-12-18</t>
  </si>
  <si>
    <t>2025-05-05</t>
  </si>
  <si>
    <t>2025-06-29</t>
  </si>
  <si>
    <t>2025-12-09</t>
  </si>
  <si>
    <t>2025-05-11</t>
  </si>
  <si>
    <t>2025-04-20</t>
  </si>
  <si>
    <t>2025-06-12</t>
  </si>
  <si>
    <t>2025-12-01</t>
  </si>
  <si>
    <t>2025-02-10</t>
  </si>
  <si>
    <t>2025-01-12</t>
  </si>
  <si>
    <t>2025-12-24</t>
  </si>
  <si>
    <t>2025-06-10</t>
  </si>
  <si>
    <t>2025-05-08</t>
  </si>
  <si>
    <t>2025-03-28</t>
  </si>
  <si>
    <t>2025-11-24</t>
  </si>
  <si>
    <t>2025-05-17</t>
  </si>
  <si>
    <t>2025-08-12</t>
  </si>
  <si>
    <t>2025-11-27</t>
  </si>
  <si>
    <t>2025-03-13</t>
  </si>
  <si>
    <t>2025-07-13</t>
  </si>
  <si>
    <t>2025-04-25</t>
  </si>
  <si>
    <t>2025-02-18</t>
  </si>
  <si>
    <t>2025-10-11</t>
  </si>
  <si>
    <t>2025-08-11</t>
  </si>
  <si>
    <t>2025-03-17</t>
  </si>
  <si>
    <t>2025-01-07</t>
  </si>
  <si>
    <t>2025-09-07</t>
  </si>
  <si>
    <t>2025-11-18</t>
  </si>
  <si>
    <t>2025-08-29</t>
  </si>
  <si>
    <t>07-Sep-25</t>
  </si>
  <si>
    <t>2025-12-07</t>
  </si>
  <si>
    <t>2025-09-12</t>
  </si>
  <si>
    <t>2025-01-10</t>
  </si>
  <si>
    <t>2025-12-06</t>
  </si>
  <si>
    <t>2025-04-24</t>
  </si>
  <si>
    <t>2025-10-02</t>
  </si>
  <si>
    <t>2025-03-25</t>
  </si>
  <si>
    <t>2025-05-31</t>
  </si>
  <si>
    <t>2025-04-06</t>
  </si>
  <si>
    <t>2025-05-19</t>
  </si>
  <si>
    <t>2025-03-05</t>
  </si>
  <si>
    <t>2025-08-21</t>
  </si>
  <si>
    <t>2025-11-11</t>
  </si>
  <si>
    <t>2025-09-10</t>
  </si>
  <si>
    <t>2025-01-15</t>
  </si>
  <si>
    <t>2025-05-26</t>
  </si>
  <si>
    <t>2025-07-08</t>
  </si>
  <si>
    <t>2025-11-09</t>
  </si>
  <si>
    <t>2025-11-17</t>
  </si>
  <si>
    <t>2025-02-08</t>
  </si>
  <si>
    <t>2025-08-23</t>
  </si>
  <si>
    <t>2025-07-14</t>
  </si>
  <si>
    <t>2025-10-18</t>
  </si>
  <si>
    <t>2025-08-05</t>
  </si>
  <si>
    <t>2025-02-02</t>
  </si>
  <si>
    <t>2025-03-14</t>
  </si>
  <si>
    <t>2025-11-05</t>
  </si>
  <si>
    <t>2025-05-29</t>
  </si>
  <si>
    <t>2025-06-19</t>
  </si>
  <si>
    <t>2025-10-26</t>
  </si>
  <si>
    <t>2025-12-04</t>
  </si>
  <si>
    <t>2025-03-31</t>
  </si>
  <si>
    <t>2025-09-01</t>
  </si>
  <si>
    <t>2025-10-09</t>
  </si>
  <si>
    <t>06-Mar-25</t>
  </si>
  <si>
    <t>2025-09-26</t>
  </si>
  <si>
    <t>2025-05-27</t>
  </si>
  <si>
    <t>2025-07-01</t>
  </si>
  <si>
    <t>2025-09-20</t>
  </si>
  <si>
    <t>2025-12-27</t>
  </si>
  <si>
    <t>2025-09-27</t>
  </si>
  <si>
    <t>2025-09-13</t>
  </si>
  <si>
    <t>2025-04-21</t>
  </si>
  <si>
    <t>2025-11-07</t>
  </si>
  <si>
    <t>2025-01-27</t>
  </si>
  <si>
    <t>2025-09-30</t>
  </si>
  <si>
    <t>2025-01-28</t>
  </si>
  <si>
    <t>2025-12-16</t>
  </si>
  <si>
    <t>2025-04-23</t>
  </si>
  <si>
    <t>2025-06-04</t>
  </si>
  <si>
    <t>2025-03-07</t>
  </si>
  <si>
    <t>2025-09-03</t>
  </si>
  <si>
    <t>2025-12-05</t>
  </si>
  <si>
    <t>2025-06-13</t>
  </si>
  <si>
    <t>2025-10-31</t>
  </si>
  <si>
    <t>2025-08-27</t>
  </si>
  <si>
    <t>2025-08-18</t>
  </si>
  <si>
    <t>2025-11-10</t>
  </si>
  <si>
    <t>2025-02-13</t>
  </si>
  <si>
    <t>2025-09-21</t>
  </si>
  <si>
    <t>2025-10-30</t>
  </si>
  <si>
    <t>2025-08-17</t>
  </si>
  <si>
    <t>2025-04-18</t>
  </si>
  <si>
    <t>2025-06-06</t>
  </si>
  <si>
    <t>2025-03-29</t>
  </si>
  <si>
    <t>2025-07-02</t>
  </si>
  <si>
    <t>2025-01-11</t>
  </si>
  <si>
    <t>2025-08-01</t>
  </si>
  <si>
    <t>2025-06-21</t>
  </si>
  <si>
    <t>2025-11-16</t>
  </si>
  <si>
    <t>2025-10-19</t>
  </si>
  <si>
    <t>2025-06-30</t>
  </si>
  <si>
    <t>2025-06-01</t>
  </si>
  <si>
    <t>2025-11-13</t>
  </si>
  <si>
    <t>2025-10-17</t>
  </si>
  <si>
    <t>2025-11-06</t>
  </si>
  <si>
    <t>2025-04-02</t>
  </si>
  <si>
    <t>2025-09-23</t>
  </si>
  <si>
    <t>2025-04-12</t>
  </si>
  <si>
    <t>2025-03-22</t>
  </si>
  <si>
    <t>2025-04-26</t>
  </si>
  <si>
    <t>2025-01-20</t>
  </si>
  <si>
    <t>2025-09-16</t>
  </si>
  <si>
    <t>2025-05-02</t>
  </si>
  <si>
    <t>2025-07-23</t>
  </si>
  <si>
    <t>2025-02-11</t>
  </si>
  <si>
    <t>2025-01-14</t>
  </si>
  <si>
    <t>2025-02-19</t>
  </si>
  <si>
    <t>2025-07-29</t>
  </si>
  <si>
    <t>2025-10-22</t>
  </si>
  <si>
    <t>2025-03-19</t>
  </si>
  <si>
    <t>2025-04-03</t>
  </si>
  <si>
    <t>2025-05-13</t>
  </si>
  <si>
    <t>2025-11-08</t>
  </si>
  <si>
    <t>2025-12-15</t>
  </si>
  <si>
    <t>2025-07-15</t>
  </si>
  <si>
    <t>2025-05-01</t>
  </si>
  <si>
    <t>2025-06-23</t>
  </si>
  <si>
    <t>2025-10-27</t>
  </si>
  <si>
    <t>2025-06-08</t>
  </si>
  <si>
    <t>2025-12-29</t>
  </si>
  <si>
    <t>2025-10-25</t>
  </si>
  <si>
    <t>2025-01-01</t>
  </si>
  <si>
    <t>2025-09-18</t>
  </si>
  <si>
    <t>2025-06-14</t>
  </si>
  <si>
    <t>2025-11-26</t>
  </si>
  <si>
    <t>2025-06-27</t>
  </si>
  <si>
    <t>2025-12-23</t>
  </si>
  <si>
    <t>2025-07-06</t>
  </si>
  <si>
    <t>2025-10-10</t>
  </si>
  <si>
    <t>2025-07-11</t>
  </si>
  <si>
    <t>2025-08-19</t>
  </si>
  <si>
    <t>2025-11-19</t>
  </si>
  <si>
    <t>2025-02-17</t>
  </si>
  <si>
    <t>2025-12-14</t>
  </si>
  <si>
    <t>2025-01-04</t>
  </si>
  <si>
    <t>01-Dec-25</t>
  </si>
  <si>
    <t>2025-08-31</t>
  </si>
  <si>
    <t>2025-08-06</t>
  </si>
  <si>
    <t>2025-03-02</t>
  </si>
  <si>
    <t>2025-11-03</t>
  </si>
  <si>
    <t>2025-08-07</t>
  </si>
  <si>
    <t>2025-01-17</t>
  </si>
  <si>
    <t>2025-10-15</t>
  </si>
  <si>
    <t>2025-11-14</t>
  </si>
  <si>
    <t>2025-03-18</t>
  </si>
  <si>
    <t>2025-12-12</t>
  </si>
  <si>
    <t>2025-01-24</t>
  </si>
  <si>
    <t>2025-05-14</t>
  </si>
  <si>
    <t>2025-01-13</t>
  </si>
  <si>
    <t>2025-09-22</t>
  </si>
  <si>
    <t>2025-06-18</t>
  </si>
  <si>
    <t>2025-08-13</t>
  </si>
  <si>
    <t>08-Oct-25</t>
  </si>
  <si>
    <t>2025-06-15</t>
  </si>
  <si>
    <t>2025-07-22</t>
  </si>
  <si>
    <t>2025-08-03</t>
  </si>
  <si>
    <t>2025-12-11</t>
  </si>
  <si>
    <t>2025-04-13</t>
  </si>
  <si>
    <t>2025-04-15</t>
  </si>
  <si>
    <t>2025-07-05</t>
  </si>
  <si>
    <t>2025-12-02</t>
  </si>
  <si>
    <t>2025-01-05</t>
  </si>
  <si>
    <t>2025-12-30</t>
  </si>
  <si>
    <t>2025-05-16</t>
  </si>
  <si>
    <t>2025-09-19</t>
  </si>
  <si>
    <t>2025-05-30</t>
  </si>
  <si>
    <t>2025-05-03</t>
  </si>
  <si>
    <t>2025-03-21</t>
  </si>
  <si>
    <t>2025-05-28</t>
  </si>
  <si>
    <t>2025-02-15</t>
  </si>
  <si>
    <t>2025-07-12</t>
  </si>
  <si>
    <t>2025-12-13</t>
  </si>
  <si>
    <t>01/03/2025</t>
  </si>
  <si>
    <t>2025-09-05</t>
  </si>
  <si>
    <t>2025-07-25</t>
  </si>
  <si>
    <t>2025-07-26</t>
  </si>
  <si>
    <t>2025-07-20</t>
  </si>
  <si>
    <t>2025-05-04</t>
  </si>
  <si>
    <t>2025-12-25</t>
  </si>
  <si>
    <t>2025-09-09</t>
  </si>
  <si>
    <t>2025-04-04</t>
  </si>
  <si>
    <t>2025-06-22</t>
  </si>
  <si>
    <t>2025-08-08</t>
  </si>
  <si>
    <t>2025-02-14</t>
  </si>
  <si>
    <t>2025-10-06</t>
  </si>
  <si>
    <t>2025-10-07</t>
  </si>
  <si>
    <t>2025-04-22</t>
  </si>
  <si>
    <t>2025-03-23</t>
  </si>
  <si>
    <t>2025-10-21</t>
  </si>
  <si>
    <t>08-Jun-25</t>
  </si>
  <si>
    <t>2025-06-24</t>
  </si>
  <si>
    <t>2025-01-21</t>
  </si>
  <si>
    <t>05-Dec-25</t>
  </si>
  <si>
    <t>2025-01-06</t>
  </si>
  <si>
    <t>2025-04-14</t>
  </si>
  <si>
    <t>2025-06-05</t>
  </si>
  <si>
    <t>2025-02-05</t>
  </si>
  <si>
    <t>2025-01-16</t>
  </si>
  <si>
    <t>2025-03-12</t>
  </si>
  <si>
    <t>2025-12-26</t>
  </si>
  <si>
    <t>2025-08-15</t>
  </si>
  <si>
    <t>2025-02-23</t>
  </si>
  <si>
    <t>2025-04-08</t>
  </si>
  <si>
    <t>2025-04-16</t>
  </si>
  <si>
    <t>2025-08-25</t>
  </si>
  <si>
    <t>2025-10-04</t>
  </si>
  <si>
    <t>2025-07-24</t>
  </si>
  <si>
    <t>2025-10-01</t>
  </si>
  <si>
    <t>2025-11-01</t>
  </si>
  <si>
    <t>2025-06-03</t>
  </si>
  <si>
    <t>2025-02-20</t>
  </si>
  <si>
    <t>2025-03-16</t>
  </si>
  <si>
    <t>02/09/2025</t>
  </si>
  <si>
    <t>2025-03-30</t>
  </si>
  <si>
    <t>2025-04-17</t>
  </si>
  <si>
    <t>03/10/2025</t>
  </si>
  <si>
    <t>2025-07-07</t>
  </si>
  <si>
    <t>2025-02-01</t>
  </si>
  <si>
    <t>2025-07-16</t>
  </si>
  <si>
    <t>2025-01-02</t>
  </si>
  <si>
    <t>2025-11-20</t>
  </si>
  <si>
    <t>2025-02-27</t>
  </si>
  <si>
    <t>2025-05-06</t>
  </si>
  <si>
    <t>2025-09-29</t>
  </si>
  <si>
    <t>2025-12-21</t>
  </si>
  <si>
    <t>2025-11-25</t>
  </si>
  <si>
    <t>2025-07-28</t>
  </si>
  <si>
    <t>2025-07-17</t>
  </si>
  <si>
    <t>2025-09-14</t>
  </si>
  <si>
    <t>2025-06-28</t>
  </si>
  <si>
    <t>2025-12-03</t>
  </si>
  <si>
    <t>2025-08-04</t>
  </si>
  <si>
    <t>2025-08-16</t>
  </si>
  <si>
    <t>2025-01-29</t>
  </si>
  <si>
    <t>2025-05-23</t>
  </si>
  <si>
    <t>2025-04-27</t>
  </si>
  <si>
    <t>2025-12-31</t>
  </si>
  <si>
    <t>2025-09-04</t>
  </si>
  <si>
    <t>2025-04-01</t>
  </si>
  <si>
    <t>2025-09-11</t>
  </si>
  <si>
    <t>2025-03-20</t>
  </si>
  <si>
    <t>2025-10-08</t>
  </si>
  <si>
    <t>2025-03-03</t>
  </si>
  <si>
    <t>2025-08-24</t>
  </si>
  <si>
    <t>2025-08-22</t>
  </si>
  <si>
    <t>2025-04-07</t>
  </si>
  <si>
    <t>2025-02-12</t>
  </si>
  <si>
    <t>02-Jan-25</t>
  </si>
  <si>
    <t>2025-01-26</t>
  </si>
  <si>
    <t>2025-06-26</t>
  </si>
  <si>
    <t>2025-03-24</t>
  </si>
  <si>
    <t>2025-06-25</t>
  </si>
  <si>
    <t>2025-09-02</t>
  </si>
  <si>
    <t>2025-05-09</t>
  </si>
  <si>
    <t>2025-09-24</t>
  </si>
  <si>
    <t>2025-10-13</t>
  </si>
  <si>
    <t>2025-01-19</t>
  </si>
  <si>
    <t>02-Oct-25</t>
  </si>
  <si>
    <t>2025-03-06</t>
  </si>
  <si>
    <t>2025-10-16</t>
  </si>
  <si>
    <t>2025-07-31</t>
  </si>
  <si>
    <t>2025-04-10</t>
  </si>
  <si>
    <t>2025-10-28</t>
  </si>
  <si>
    <t>2025-01-25</t>
  </si>
  <si>
    <t>2025-03-08</t>
  </si>
  <si>
    <t>2025-11-28</t>
  </si>
  <si>
    <t>2025-09-15</t>
  </si>
  <si>
    <t>2025-05-21</t>
  </si>
  <si>
    <t>2025-11-04</t>
  </si>
  <si>
    <t>2025-09-08</t>
  </si>
  <si>
    <t>2025-04-29</t>
  </si>
  <si>
    <t>2025-08-30</t>
  </si>
  <si>
    <t>03-Jun-25</t>
  </si>
  <si>
    <t>2025-10-20</t>
  </si>
  <si>
    <t>2025-04-09</t>
  </si>
  <si>
    <t>2025-12-20</t>
  </si>
  <si>
    <t>2025-05-20</t>
  </si>
  <si>
    <t>2025-09-06</t>
  </si>
  <si>
    <t>2025-12-28</t>
  </si>
  <si>
    <t>2025-02-07</t>
  </si>
  <si>
    <t>2025-02-06</t>
  </si>
  <si>
    <t>2025-12-17</t>
  </si>
  <si>
    <t>2025-05-10</t>
  </si>
  <si>
    <t>01-Sep-25</t>
  </si>
  <si>
    <t>2025-02-16</t>
  </si>
  <si>
    <t>2025-02-03</t>
  </si>
  <si>
    <t>06/09/2025</t>
  </si>
  <si>
    <t>2025-12-10</t>
  </si>
  <si>
    <t>2025-07-18</t>
  </si>
  <si>
    <t>2025-08-10</t>
  </si>
  <si>
    <t>08/11/2025</t>
  </si>
  <si>
    <t>2025-12-22</t>
  </si>
  <si>
    <t>2025-05-12</t>
  </si>
  <si>
    <t>2025-01-18</t>
  </si>
  <si>
    <t>08-Mar-25</t>
  </si>
  <si>
    <t>2025-09-28</t>
  </si>
  <si>
    <t>2025-04-19</t>
  </si>
  <si>
    <t>2025-07-03</t>
  </si>
  <si>
    <t>2025-01-03</t>
  </si>
  <si>
    <t>07/05/2025</t>
  </si>
  <si>
    <t>2025-12-08</t>
  </si>
  <si>
    <t>2025-07-10</t>
  </si>
  <si>
    <t>2025-12-19</t>
  </si>
  <si>
    <t>2025-06-16</t>
  </si>
  <si>
    <t>2025-05-18</t>
  </si>
  <si>
    <t>2025-08-28</t>
  </si>
  <si>
    <t>2025-10-23</t>
  </si>
  <si>
    <t>2025-02-22</t>
  </si>
  <si>
    <t>2025-05-15</t>
  </si>
  <si>
    <t>39 spellings for 8 zones</t>
  </si>
  <si>
    <t>990/15/25</t>
  </si>
  <si>
    <t>remove duplicate</t>
  </si>
  <si>
    <t xml:space="preserve">remove the tons </t>
  </si>
  <si>
    <t>keep them but flag it</t>
  </si>
  <si>
    <t>keep them</t>
  </si>
  <si>
    <t>Whole table</t>
  </si>
  <si>
    <t>trim spaces then capitalize each word</t>
  </si>
  <si>
    <t>replace the 999 with blank and flag it</t>
  </si>
  <si>
    <t>replace blanks with unknown its still needed for zone totals</t>
  </si>
  <si>
    <t>convert all 3 formats to real dates. The slash date are day/month/year, so use the uk nigeria english locale</t>
  </si>
  <si>
    <t>Month</t>
  </si>
  <si>
    <t>Month Name</t>
  </si>
  <si>
    <t>January</t>
  </si>
  <si>
    <t>July</t>
  </si>
  <si>
    <t>March</t>
  </si>
  <si>
    <t>May</t>
  </si>
  <si>
    <t>November</t>
  </si>
  <si>
    <t>February</t>
  </si>
  <si>
    <t>August</t>
  </si>
  <si>
    <t>June</t>
  </si>
  <si>
    <t>April</t>
  </si>
  <si>
    <t>October</t>
  </si>
  <si>
    <t>September</t>
  </si>
  <si>
    <t>December</t>
  </si>
  <si>
    <t>Tonage per Trip</t>
  </si>
  <si>
    <t>leave blanks and exclude from the missed pick up rates assuming 0 would make zones looks better than they are</t>
  </si>
  <si>
    <t>Supervisor</t>
  </si>
  <si>
    <t>Population</t>
  </si>
  <si>
    <t>Mr. Adeyemi</t>
  </si>
  <si>
    <t>Mrs. Okafor</t>
  </si>
  <si>
    <t>Mr. Bello</t>
  </si>
  <si>
    <t>Mrs. Eze</t>
  </si>
  <si>
    <t>Mr. Salami</t>
  </si>
  <si>
    <t>Mrs. Adisa</t>
  </si>
  <si>
    <t>Mr. Ogunleye</t>
  </si>
  <si>
    <t>Mrs. Johnson</t>
  </si>
  <si>
    <t>Row Labels</t>
  </si>
  <si>
    <t>Grand Total</t>
  </si>
  <si>
    <t>Average of Tonage per Trip</t>
  </si>
  <si>
    <t>Sum of Tonnage</t>
  </si>
  <si>
    <t>Average of Missed Pickups</t>
  </si>
  <si>
    <t>Alimosho collects the most per trip</t>
  </si>
  <si>
    <t>December is the peak month at about 2,347 tons</t>
  </si>
  <si>
    <t>the lowest month about 1,444 tons</t>
  </si>
  <si>
    <t>have the highest missed pickup rate</t>
  </si>
  <si>
    <t>while surulere has the lowest (1.10)</t>
  </si>
  <si>
    <t>Waste Collection Analysis Summary</t>
  </si>
  <si>
    <t>Key Takeaway</t>
  </si>
  <si>
    <t>Epe, Badagry and Ikorodu are weak on both</t>
  </si>
  <si>
    <t>Data Notes</t>
  </si>
  <si>
    <t>Fuel used was converted to decimal numbers</t>
  </si>
  <si>
    <t>Trips and missed pickups to whole numbers</t>
  </si>
  <si>
    <t>Rows with missing tonnage or missed pickups are excluded from</t>
  </si>
  <si>
    <t>the related averages and totals, so monthly totals may be slightly understated</t>
  </si>
  <si>
    <t>so a trip in Alimosho collects nearly twice as much.</t>
  </si>
  <si>
    <t xml:space="preserve">so they are the zones to prioritise. </t>
  </si>
  <si>
    <t>values were treated as missing</t>
  </si>
  <si>
    <t>Dates changed to English (UK) format</t>
  </si>
  <si>
    <t xml:space="preserve">(about 7.2 tons) and Epe has the least(about 3.7), </t>
  </si>
  <si>
    <t>around 62% above August</t>
  </si>
  <si>
    <t>Ikorodu (2.56), Badagry(2.51) and Epe(2.41)</t>
  </si>
  <si>
    <t>Tonnage per trip and missed pickups</t>
  </si>
  <si>
    <t>Zone name were trimmed and standardised to title case.</t>
  </si>
  <si>
    <t>In Tonnage, the tons "text" were removed and the 999 placeholder</t>
  </si>
  <si>
    <t>30 duplicate rows were removed.</t>
  </si>
  <si>
    <t>Missing truck IDs were labelled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</si>
</sst>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[waste_collection_tracker.xlsx]pivot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TONNAGE PER TRIP,BY ZONE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7056233595800524"/>
          <c:y val="0.14249781277340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763245821126827E-2"/>
          <c:y val="0.33103609911338744"/>
          <c:w val="0.91284301492268516"/>
          <c:h val="0.4835816546276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table'!$A$4:$A$12</c:f>
              <c:strCache>
                <c:ptCount val="8"/>
                <c:pt idx="0">
                  <c:v>Alimosho</c:v>
                </c:pt>
                <c:pt idx="1">
                  <c:v>Mushin</c:v>
                </c:pt>
                <c:pt idx="2">
                  <c:v>Ikeja</c:v>
                </c:pt>
                <c:pt idx="3">
                  <c:v>Surulere</c:v>
                </c:pt>
                <c:pt idx="4">
                  <c:v>Lekki</c:v>
                </c:pt>
                <c:pt idx="5">
                  <c:v>Ikorodu</c:v>
                </c:pt>
                <c:pt idx="6">
                  <c:v>Badagry</c:v>
                </c:pt>
                <c:pt idx="7">
                  <c:v>Epe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7.2090100250626561</c:v>
                </c:pt>
                <c:pt idx="1">
                  <c:v>7.1319417475728146</c:v>
                </c:pt>
                <c:pt idx="2">
                  <c:v>6.8626781609195397</c:v>
                </c:pt>
                <c:pt idx="3">
                  <c:v>6.3296581196581192</c:v>
                </c:pt>
                <c:pt idx="4">
                  <c:v>5.5930330330330342</c:v>
                </c:pt>
                <c:pt idx="5">
                  <c:v>4.1955555555555542</c:v>
                </c:pt>
                <c:pt idx="6">
                  <c:v>3.9405932203389842</c:v>
                </c:pt>
                <c:pt idx="7">
                  <c:v>3.712327823691461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D-4559-9D93-0C0691149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2353343"/>
        <c:axId val="1182346623"/>
      </c:barChart>
      <c:catAx>
        <c:axId val="118235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46623"/>
        <c:crosses val="autoZero"/>
        <c:auto val="1"/>
        <c:lblAlgn val="ctr"/>
        <c:lblOffset val="100"/>
        <c:noMultiLvlLbl val="0"/>
      </c:catAx>
      <c:valAx>
        <c:axId val="118234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[waste_collection_tracker.xlsx]pivot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TONNAGE COLLECTED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table'!$A$20:$A$32</c:f>
              <c:strCache>
                <c:ptCount val="12"/>
                <c:pt idx="0">
                  <c:v>December</c:v>
                </c:pt>
                <c:pt idx="1">
                  <c:v>June</c:v>
                </c:pt>
                <c:pt idx="2">
                  <c:v>March</c:v>
                </c:pt>
                <c:pt idx="3">
                  <c:v>January</c:v>
                </c:pt>
                <c:pt idx="4">
                  <c:v>July</c:v>
                </c:pt>
                <c:pt idx="5">
                  <c:v>October</c:v>
                </c:pt>
                <c:pt idx="6">
                  <c:v>September</c:v>
                </c:pt>
                <c:pt idx="7">
                  <c:v>November</c:v>
                </c:pt>
                <c:pt idx="8">
                  <c:v>May</c:v>
                </c:pt>
                <c:pt idx="9">
                  <c:v>April</c:v>
                </c:pt>
                <c:pt idx="10">
                  <c:v>February</c:v>
                </c:pt>
                <c:pt idx="11">
                  <c:v>August</c:v>
                </c:pt>
              </c:strCache>
            </c:strRef>
          </c:cat>
          <c:val>
            <c:numRef>
              <c:f>'pivot table'!$B$20:$B$32</c:f>
              <c:numCache>
                <c:formatCode>General</c:formatCode>
                <c:ptCount val="12"/>
                <c:pt idx="0">
                  <c:v>2346.7999999999988</c:v>
                </c:pt>
                <c:pt idx="1">
                  <c:v>2078</c:v>
                </c:pt>
                <c:pt idx="2">
                  <c:v>2017.8000000000004</c:v>
                </c:pt>
                <c:pt idx="3">
                  <c:v>1978.8</c:v>
                </c:pt>
                <c:pt idx="4">
                  <c:v>1819.3999999999999</c:v>
                </c:pt>
                <c:pt idx="5">
                  <c:v>1804.6999999999996</c:v>
                </c:pt>
                <c:pt idx="6">
                  <c:v>1794.2000000000005</c:v>
                </c:pt>
                <c:pt idx="7">
                  <c:v>1760.8000000000004</c:v>
                </c:pt>
                <c:pt idx="8">
                  <c:v>1717.9999999999995</c:v>
                </c:pt>
                <c:pt idx="9">
                  <c:v>1692.9999999999995</c:v>
                </c:pt>
                <c:pt idx="10">
                  <c:v>1472.6</c:v>
                </c:pt>
                <c:pt idx="11">
                  <c:v>1444.1000000000001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E-4A69-A09C-F935BED1F5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0336960"/>
        <c:axId val="1890337440"/>
      </c:barChart>
      <c:catAx>
        <c:axId val="189033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37440"/>
        <c:crosses val="autoZero"/>
        <c:auto val="1"/>
        <c:lblAlgn val="ctr"/>
        <c:lblOffset val="100"/>
        <c:noMultiLvlLbl val="0"/>
      </c:catAx>
      <c:valAx>
        <c:axId val="189033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3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[waste_collection_tracker.xlsx]pivot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MISSED PICKUPS BY ZONE</a:t>
            </a:r>
          </a:p>
        </c:rich>
      </c:tx>
      <c:layout>
        <c:manualLayout>
          <c:xMode val="edge"/>
          <c:yMode val="edge"/>
          <c:x val="0.23972222222222228"/>
          <c:y val="0.13786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table'!$F$6:$F$14</c:f>
              <c:strCache>
                <c:ptCount val="8"/>
                <c:pt idx="0">
                  <c:v>Ikorodu</c:v>
                </c:pt>
                <c:pt idx="1">
                  <c:v>Badagry</c:v>
                </c:pt>
                <c:pt idx="2">
                  <c:v>Epe</c:v>
                </c:pt>
                <c:pt idx="3">
                  <c:v>Mushin</c:v>
                </c:pt>
                <c:pt idx="4">
                  <c:v>Lekki</c:v>
                </c:pt>
                <c:pt idx="5">
                  <c:v>Alimosho</c:v>
                </c:pt>
                <c:pt idx="6">
                  <c:v>Ikeja</c:v>
                </c:pt>
                <c:pt idx="7">
                  <c:v>Surulere</c:v>
                </c:pt>
              </c:strCache>
            </c:strRef>
          </c:cat>
          <c:val>
            <c:numRef>
              <c:f>'pivot table'!$G$6:$G$14</c:f>
              <c:numCache>
                <c:formatCode>General</c:formatCode>
                <c:ptCount val="8"/>
                <c:pt idx="0">
                  <c:v>2.5639097744360901</c:v>
                </c:pt>
                <c:pt idx="1">
                  <c:v>2.5084745762711864</c:v>
                </c:pt>
                <c:pt idx="2">
                  <c:v>2.411290322580645</c:v>
                </c:pt>
                <c:pt idx="3">
                  <c:v>1.3592233009708738</c:v>
                </c:pt>
                <c:pt idx="4">
                  <c:v>1.3035714285714286</c:v>
                </c:pt>
                <c:pt idx="5">
                  <c:v>1.1716417910447761</c:v>
                </c:pt>
                <c:pt idx="6">
                  <c:v>1.1258741258741258</c:v>
                </c:pt>
                <c:pt idx="7">
                  <c:v>1.1016949152542372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2-4211-B3F8-69A66857AB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0297600"/>
        <c:axId val="1890298080"/>
      </c:barChart>
      <c:catAx>
        <c:axId val="18902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98080"/>
        <c:crosses val="autoZero"/>
        <c:auto val="1"/>
        <c:lblAlgn val="ctr"/>
        <c:lblOffset val="100"/>
        <c:noMultiLvlLbl val="0"/>
      </c:catAx>
      <c:valAx>
        <c:axId val="189029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9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73151</xdr:colOff>
      <xdr:row>2</xdr:row>
      <xdr:rowOff>58522</xdr:rowOff>
    </xdr:from>
    <xdr:to>
      <xdr:col>8</xdr:col>
      <xdr:colOff>16438</xdr:colOff>
      <xdr:row>16</xdr:row>
      <xdr:rowOff>164387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72C7B-FBA7-4D91-977F-066067C80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59179</xdr:colOff>
      <xdr:row>17</xdr:row>
      <xdr:rowOff>85153</xdr:rowOff>
    </xdr:from>
    <xdr:to>
      <xdr:col>8</xdr:col>
      <xdr:colOff>122386</xdr:colOff>
      <xdr:row>32</xdr:row>
      <xdr:rowOff>85153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316E24-7779-4008-9115-65B53EAA1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8</xdr:col>
      <xdr:colOff>65837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3D0CAA-6125-46BA-9706-BC34E154D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7.595190509259" createdVersion="8" refreshedVersion="8" minRefreshableVersion="3" recordCount="1001" xr:uid="{5608DFA9-6DEE-428D-8730-0865D1A85868}">
  <cacheSource type="worksheet">
    <worksheetSource name="Clean_data"/>
  </cacheSource>
  <cacheFields count="12">
    <cacheField name="Date" numFmtId="164">
      <sharedItems containsNonDate="0" containsDate="1" containsString="0" containsBlank="1" minDate="2025-01-01T00:00:00" maxDate="2026-01-01T00:00:00"/>
    </cacheField>
    <cacheField name="Zone" numFmtId="0">
      <sharedItems containsBlank="1" count="9">
        <s v="Alimosho"/>
        <s v="Mushin"/>
        <s v="Badagry"/>
        <s v="Epe"/>
        <s v="Ikorodu"/>
        <s v="Ikeja"/>
        <s v="Lekki"/>
        <s v="Surulere"/>
        <m/>
      </sharedItems>
    </cacheField>
    <cacheField name="Truck ID" numFmtId="0">
      <sharedItems containsBlank="1"/>
    </cacheField>
    <cacheField name="Trips" numFmtId="0">
      <sharedItems containsString="0" containsBlank="1" containsNumber="1" containsInteger="1" minValue="2" maxValue="6"/>
    </cacheField>
    <cacheField name="Tonnage" numFmtId="0">
      <sharedItems containsString="0" containsBlank="1" containsNumber="1" minValue="5.3" maxValue="60.7"/>
    </cacheField>
    <cacheField name="Fuel Used (L)" numFmtId="0">
      <sharedItems containsString="0" containsBlank="1" containsNumber="1" minValue="45.3" maxValue="319"/>
    </cacheField>
    <cacheField name="Missed Pickups" numFmtId="0">
      <sharedItems containsString="0" containsBlank="1" containsNumber="1" containsInteger="1" minValue="0" maxValue="8"/>
    </cacheField>
    <cacheField name="Month" numFmtId="0">
      <sharedItems containsString="0" containsBlank="1" containsNumber="1" containsInteger="1" minValue="1" maxValue="12"/>
    </cacheField>
    <cacheField name="Month Name" numFmtId="0">
      <sharedItems containsBlank="1" count="13">
        <s v="January"/>
        <s v="July"/>
        <s v="March"/>
        <s v="May"/>
        <s v="November"/>
        <s v="February"/>
        <s v="August"/>
        <s v="June"/>
        <s v="April"/>
        <s v="October"/>
        <s v="September"/>
        <s v="December"/>
        <m/>
      </sharedItems>
    </cacheField>
    <cacheField name="Tonage per Trip" numFmtId="0">
      <sharedItems containsString="0" containsBlank="1" containsNumber="1" minValue="2.34" maxValue="10.366666666666667"/>
    </cacheField>
    <cacheField name="Supervisor" numFmtId="0">
      <sharedItems containsMixedTypes="1" containsNumber="1" containsInteger="1" minValue="0" maxValue="0"/>
    </cacheField>
    <cacheField name="population" numFmtId="0">
      <sharedItems containsSemiMixedTypes="0" containsString="0" containsNumber="1" containsInteger="1" minValue="0" maxValue="128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d v="2025-01-22T00:00:00"/>
    <x v="0"/>
    <s v="ALM-04"/>
    <n v="2"/>
    <m/>
    <n v="72.2"/>
    <n v="2"/>
    <n v="1"/>
    <x v="0"/>
    <m/>
    <s v="Mr. Bello"/>
    <n v="1288000"/>
  </r>
  <r>
    <d v="2025-07-09T00:00:00"/>
    <x v="1"/>
    <s v="MSH-03"/>
    <n v="3"/>
    <n v="21.9"/>
    <n v="96"/>
    <n v="1"/>
    <n v="7"/>
    <x v="1"/>
    <n v="7.3"/>
    <s v="Mrs. Adisa"/>
    <n v="633000"/>
  </r>
  <r>
    <d v="2025-03-10T00:00:00"/>
    <x v="2"/>
    <s v="BDG-01"/>
    <n v="4"/>
    <n v="18.600000000000001"/>
    <n v="154"/>
    <n v="2"/>
    <n v="3"/>
    <x v="2"/>
    <n v="4.6500000000000004"/>
    <s v="Mrs. Johnson"/>
    <n v="241000"/>
  </r>
  <r>
    <d v="2025-05-25T00:00:00"/>
    <x v="0"/>
    <s v="ALM-02"/>
    <n v="2"/>
    <n v="15.3"/>
    <n v="72.7"/>
    <n v="0"/>
    <n v="5"/>
    <x v="3"/>
    <n v="7.65"/>
    <s v="Mr. Bello"/>
    <n v="1288000"/>
  </r>
  <r>
    <d v="2025-11-02T00:00:00"/>
    <x v="3"/>
    <s v="EPE-01"/>
    <n v="2"/>
    <n v="8.1999999999999993"/>
    <n v="83.6"/>
    <n v="1"/>
    <n v="11"/>
    <x v="4"/>
    <n v="4.0999999999999996"/>
    <s v="Mr. Ogunleye"/>
    <n v="181000"/>
  </r>
  <r>
    <d v="2025-02-04T00:00:00"/>
    <x v="4"/>
    <s v="IKD-02"/>
    <n v="2"/>
    <n v="7.6"/>
    <n v="91.4"/>
    <n v="1"/>
    <n v="2"/>
    <x v="5"/>
    <n v="3.8"/>
    <s v="Mrs. Eze"/>
    <n v="535000"/>
  </r>
  <r>
    <d v="2025-08-09T00:00:00"/>
    <x v="1"/>
    <s v="MSH-02"/>
    <n v="3"/>
    <n v="18.399999999999999"/>
    <n v="139.6"/>
    <n v="2"/>
    <n v="8"/>
    <x v="6"/>
    <n v="6.1333333333333329"/>
    <s v="Mrs. Adisa"/>
    <n v="633000"/>
  </r>
  <r>
    <d v="2025-07-27T00:00:00"/>
    <x v="5"/>
    <s v="IKJ-03"/>
    <n v="6"/>
    <n v="42.5"/>
    <n v="245.3"/>
    <n v="1"/>
    <n v="7"/>
    <x v="1"/>
    <n v="7.083333333333333"/>
    <s v="Mr. Adeyemi"/>
    <n v="313000"/>
  </r>
  <r>
    <d v="2025-06-17T00:00:00"/>
    <x v="6"/>
    <s v="LKK-02"/>
    <n v="4"/>
    <n v="20.5"/>
    <n v="181.9"/>
    <n v="2"/>
    <n v="6"/>
    <x v="7"/>
    <n v="5.125"/>
    <s v="Mr. Salami"/>
    <n v="200000"/>
  </r>
  <r>
    <d v="2025-03-04T00:00:00"/>
    <x v="2"/>
    <s v="BDG-02"/>
    <n v="2"/>
    <n v="7.5"/>
    <n v="65"/>
    <n v="2"/>
    <n v="3"/>
    <x v="2"/>
    <n v="3.75"/>
    <s v="Mrs. Johnson"/>
    <n v="241000"/>
  </r>
  <r>
    <d v="2025-06-07T00:00:00"/>
    <x v="5"/>
    <s v="IKJ-02"/>
    <n v="3"/>
    <n v="20.100000000000001"/>
    <n v="117.5"/>
    <n v="1"/>
    <n v="6"/>
    <x v="7"/>
    <n v="6.7"/>
    <s v="Mr. Adeyemi"/>
    <n v="313000"/>
  </r>
  <r>
    <d v="2025-04-11T00:00:00"/>
    <x v="3"/>
    <s v="EPE-01"/>
    <n v="6"/>
    <n v="22.9"/>
    <n v="255.3"/>
    <n v="2"/>
    <n v="4"/>
    <x v="8"/>
    <n v="3.8166666666666664"/>
    <s v="Mr. Ogunleye"/>
    <n v="181000"/>
  </r>
  <r>
    <d v="2025-06-02T00:00:00"/>
    <x v="1"/>
    <s v="MSH-03"/>
    <n v="5"/>
    <n v="33.9"/>
    <n v="169.5"/>
    <n v="1"/>
    <n v="6"/>
    <x v="7"/>
    <n v="6.7799999999999994"/>
    <s v="Mrs. Adisa"/>
    <n v="633000"/>
  </r>
  <r>
    <d v="2025-03-09T00:00:00"/>
    <x v="0"/>
    <s v="ALM-03"/>
    <n v="4"/>
    <n v="28.7"/>
    <n v="140.30000000000001"/>
    <n v="2"/>
    <n v="3"/>
    <x v="2"/>
    <n v="7.1749999999999998"/>
    <s v="Mr. Bello"/>
    <n v="1288000"/>
  </r>
  <r>
    <d v="2025-02-21T00:00:00"/>
    <x v="5"/>
    <s v="IKJ-02"/>
    <n v="4"/>
    <m/>
    <n v="186.5"/>
    <n v="1"/>
    <n v="2"/>
    <x v="5"/>
    <m/>
    <s v="Mr. Adeyemi"/>
    <n v="313000"/>
  </r>
  <r>
    <d v="2025-11-30T00:00:00"/>
    <x v="1"/>
    <s v="MSH-01"/>
    <n v="2"/>
    <n v="17.5"/>
    <n v="76.3"/>
    <n v="1"/>
    <n v="11"/>
    <x v="4"/>
    <n v="8.75"/>
    <s v="Mrs. Adisa"/>
    <n v="633000"/>
  </r>
  <r>
    <d v="2025-11-22T00:00:00"/>
    <x v="7"/>
    <s v="SRL-01"/>
    <n v="3"/>
    <n v="20.399999999999999"/>
    <n v="131"/>
    <n v="0"/>
    <n v="11"/>
    <x v="4"/>
    <n v="6.8"/>
    <s v="Mrs. Okafor"/>
    <n v="503000"/>
  </r>
  <r>
    <d v="2025-07-04T00:00:00"/>
    <x v="2"/>
    <s v="BDG-02"/>
    <n v="4"/>
    <n v="17.2"/>
    <n v="193.3"/>
    <n v="1"/>
    <n v="7"/>
    <x v="1"/>
    <n v="4.3"/>
    <s v="Mrs. Johnson"/>
    <n v="241000"/>
  </r>
  <r>
    <d v="2025-02-26T00:00:00"/>
    <x v="4"/>
    <s v="IKD-01"/>
    <n v="5"/>
    <n v="20.7"/>
    <m/>
    <n v="2"/>
    <n v="2"/>
    <x v="5"/>
    <n v="4.1399999999999997"/>
    <s v="Mrs. Eze"/>
    <n v="535000"/>
  </r>
  <r>
    <d v="2025-11-12T00:00:00"/>
    <x v="4"/>
    <s v="IKD-01"/>
    <n v="5"/>
    <n v="24.3"/>
    <n v="172.7"/>
    <n v="2"/>
    <n v="11"/>
    <x v="4"/>
    <n v="4.8600000000000003"/>
    <s v="Mrs. Eze"/>
    <n v="535000"/>
  </r>
  <r>
    <d v="2025-06-02T00:00:00"/>
    <x v="3"/>
    <s v="EPE-01"/>
    <n v="2"/>
    <n v="6.8"/>
    <n v="80.2"/>
    <n v="2"/>
    <n v="6"/>
    <x v="7"/>
    <n v="3.4"/>
    <s v="Mr. Ogunleye"/>
    <n v="181000"/>
  </r>
  <r>
    <d v="2025-05-24T00:00:00"/>
    <x v="4"/>
    <s v="IKD-03"/>
    <n v="4"/>
    <n v="16.899999999999999"/>
    <n v="152.69999999999999"/>
    <n v="3"/>
    <n v="5"/>
    <x v="3"/>
    <n v="4.2249999999999996"/>
    <s v="Mrs. Eze"/>
    <n v="535000"/>
  </r>
  <r>
    <d v="2025-06-09T00:00:00"/>
    <x v="0"/>
    <s v="ALM-04"/>
    <n v="6"/>
    <n v="39"/>
    <n v="207.4"/>
    <n v="3"/>
    <n v="6"/>
    <x v="7"/>
    <n v="6.5"/>
    <s v="Mr. Bello"/>
    <n v="1288000"/>
  </r>
  <r>
    <d v="2025-01-09T00:00:00"/>
    <x v="0"/>
    <s v="ALM-01"/>
    <n v="2"/>
    <n v="12.3"/>
    <n v="80.900000000000006"/>
    <n v="0"/>
    <n v="1"/>
    <x v="0"/>
    <n v="6.15"/>
    <s v="Mr. Bello"/>
    <n v="1288000"/>
  </r>
  <r>
    <d v="2025-11-21T00:00:00"/>
    <x v="3"/>
    <s v="EPE-01"/>
    <n v="2"/>
    <n v="9"/>
    <n v="73.400000000000006"/>
    <n v="0"/>
    <n v="11"/>
    <x v="4"/>
    <n v="4.5"/>
    <s v="Mr. Ogunleye"/>
    <n v="181000"/>
  </r>
  <r>
    <d v="2025-02-28T00:00:00"/>
    <x v="3"/>
    <s v="EPE-01"/>
    <n v="3"/>
    <n v="9.1999999999999993"/>
    <n v="115.3"/>
    <n v="2"/>
    <n v="2"/>
    <x v="5"/>
    <n v="3.0666666666666664"/>
    <s v="Mr. Ogunleye"/>
    <n v="181000"/>
  </r>
  <r>
    <d v="2025-01-23T00:00:00"/>
    <x v="3"/>
    <s v="EPE-02"/>
    <n v="6"/>
    <n v="19.2"/>
    <n v="244.8"/>
    <n v="2"/>
    <n v="1"/>
    <x v="0"/>
    <n v="3.1999999999999997"/>
    <s v="Mr. Ogunleye"/>
    <n v="181000"/>
  </r>
  <r>
    <d v="2025-02-25T00:00:00"/>
    <x v="5"/>
    <s v="IKJ-01"/>
    <n v="5"/>
    <n v="32.1"/>
    <n v="174.3"/>
    <n v="6"/>
    <n v="2"/>
    <x v="5"/>
    <n v="6.42"/>
    <s v="Mr. Adeyemi"/>
    <n v="313000"/>
  </r>
  <r>
    <d v="2025-10-12T00:00:00"/>
    <x v="4"/>
    <s v="IKD-02"/>
    <n v="5"/>
    <n v="21.1"/>
    <n v="192"/>
    <n v="1"/>
    <n v="10"/>
    <x v="9"/>
    <n v="4.2200000000000006"/>
    <s v="Mrs. Eze"/>
    <n v="535000"/>
  </r>
  <r>
    <d v="2025-10-29T00:00:00"/>
    <x v="0"/>
    <s v="ALM-03"/>
    <n v="4"/>
    <n v="24.5"/>
    <n v="167.4"/>
    <n v="1"/>
    <n v="10"/>
    <x v="9"/>
    <n v="6.125"/>
    <s v="Mr. Bello"/>
    <n v="1288000"/>
  </r>
  <r>
    <d v="2025-09-17T00:00:00"/>
    <x v="2"/>
    <s v="BDG-02"/>
    <n v="2"/>
    <n v="8"/>
    <n v="74.900000000000006"/>
    <n v="4"/>
    <n v="9"/>
    <x v="10"/>
    <n v="4"/>
    <s v="Mrs. Johnson"/>
    <n v="241000"/>
  </r>
  <r>
    <d v="2025-03-04T00:00:00"/>
    <x v="3"/>
    <s v="EPE-02"/>
    <n v="5"/>
    <n v="19.899999999999999"/>
    <m/>
    <n v="2"/>
    <n v="3"/>
    <x v="2"/>
    <n v="3.9799999999999995"/>
    <s v="Mr. Ogunleye"/>
    <n v="181000"/>
  </r>
  <r>
    <d v="2025-09-25T00:00:00"/>
    <x v="3"/>
    <s v="EPE-01"/>
    <n v="2"/>
    <n v="7.9"/>
    <n v="90.2"/>
    <n v="1"/>
    <n v="9"/>
    <x v="10"/>
    <n v="3.95"/>
    <s v="Mr. Ogunleye"/>
    <n v="181000"/>
  </r>
  <r>
    <d v="2025-03-15T00:00:00"/>
    <x v="5"/>
    <s v="IKJ-03"/>
    <n v="4"/>
    <n v="25.4"/>
    <n v="175.4"/>
    <n v="0"/>
    <n v="3"/>
    <x v="2"/>
    <n v="6.35"/>
    <s v="Mr. Adeyemi"/>
    <n v="313000"/>
  </r>
  <r>
    <d v="2025-04-30T00:00:00"/>
    <x v="0"/>
    <s v="ALM-04"/>
    <n v="3"/>
    <n v="22.5"/>
    <n v="119.1"/>
    <n v="0"/>
    <n v="4"/>
    <x v="8"/>
    <n v="7.5"/>
    <s v="Mr. Bello"/>
    <n v="1288000"/>
  </r>
  <r>
    <d v="2025-04-28T00:00:00"/>
    <x v="4"/>
    <s v="IKD-02"/>
    <n v="5"/>
    <m/>
    <n v="187.6"/>
    <n v="1"/>
    <n v="4"/>
    <x v="8"/>
    <m/>
    <s v="Mrs. Eze"/>
    <n v="535000"/>
  </r>
  <r>
    <d v="2025-01-08T00:00:00"/>
    <x v="0"/>
    <s v="ALM-02"/>
    <n v="6"/>
    <n v="50.7"/>
    <n v="213"/>
    <n v="1"/>
    <n v="1"/>
    <x v="0"/>
    <n v="8.4500000000000011"/>
    <s v="Mr. Bello"/>
    <n v="1288000"/>
  </r>
  <r>
    <d v="2025-01-31T00:00:00"/>
    <x v="1"/>
    <s v="MSH-02"/>
    <n v="5"/>
    <n v="27.9"/>
    <n v="207.5"/>
    <n v="1"/>
    <n v="1"/>
    <x v="0"/>
    <n v="5.58"/>
    <s v="Mrs. Adisa"/>
    <n v="633000"/>
  </r>
  <r>
    <d v="2025-02-09T00:00:00"/>
    <x v="0"/>
    <s v="ALM-03"/>
    <n v="5"/>
    <n v="34"/>
    <n v="234.2"/>
    <n v="1"/>
    <n v="2"/>
    <x v="5"/>
    <n v="6.8"/>
    <s v="Mr. Bello"/>
    <n v="1288000"/>
  </r>
  <r>
    <d v="2025-02-24T00:00:00"/>
    <x v="4"/>
    <s v="IKD-03"/>
    <n v="3"/>
    <n v="11"/>
    <n v="135.6"/>
    <n v="3"/>
    <n v="2"/>
    <x v="5"/>
    <n v="3.6666666666666665"/>
    <s v="Mrs. Eze"/>
    <n v="535000"/>
  </r>
  <r>
    <d v="2025-03-11T00:00:00"/>
    <x v="0"/>
    <s v="ALM-04"/>
    <n v="4"/>
    <n v="29"/>
    <n v="161.6"/>
    <n v="0"/>
    <n v="3"/>
    <x v="2"/>
    <n v="7.25"/>
    <s v="Mr. Bello"/>
    <n v="1288000"/>
  </r>
  <r>
    <d v="2025-12-18T00:00:00"/>
    <x v="2"/>
    <s v="BDG-02"/>
    <n v="3"/>
    <n v="10.4"/>
    <n v="106.8"/>
    <n v="7"/>
    <n v="12"/>
    <x v="11"/>
    <n v="3.4666666666666668"/>
    <s v="Mrs. Johnson"/>
    <n v="241000"/>
  </r>
  <r>
    <d v="2025-05-05T00:00:00"/>
    <x v="5"/>
    <s v="IKJ-03"/>
    <n v="2"/>
    <n v="13.8"/>
    <n v="73.400000000000006"/>
    <m/>
    <n v="5"/>
    <x v="3"/>
    <n v="6.9"/>
    <s v="Mr. Adeyemi"/>
    <n v="313000"/>
  </r>
  <r>
    <d v="2025-06-29T00:00:00"/>
    <x v="6"/>
    <s v="LKK-01"/>
    <n v="3"/>
    <n v="18.600000000000001"/>
    <n v="115.3"/>
    <n v="1"/>
    <n v="6"/>
    <x v="7"/>
    <n v="6.2"/>
    <s v="Mr. Salami"/>
    <n v="200000"/>
  </r>
  <r>
    <d v="2025-12-09T00:00:00"/>
    <x v="1"/>
    <s v="MSH-02"/>
    <n v="5"/>
    <n v="42.7"/>
    <n v="146.5"/>
    <n v="2"/>
    <n v="12"/>
    <x v="11"/>
    <n v="8.5400000000000009"/>
    <s v="Mrs. Adisa"/>
    <n v="633000"/>
  </r>
  <r>
    <d v="2025-03-10T00:00:00"/>
    <x v="2"/>
    <s v="BDG-01"/>
    <n v="6"/>
    <n v="18.899999999999999"/>
    <n v="160.6"/>
    <n v="2"/>
    <n v="3"/>
    <x v="2"/>
    <n v="3.15"/>
    <s v="Mrs. Johnson"/>
    <n v="241000"/>
  </r>
  <r>
    <d v="2025-05-11T00:00:00"/>
    <x v="5"/>
    <s v="IKJ-01"/>
    <n v="3"/>
    <n v="19.8"/>
    <n v="126.7"/>
    <n v="1"/>
    <n v="5"/>
    <x v="3"/>
    <n v="6.6000000000000005"/>
    <s v="Mr. Adeyemi"/>
    <n v="313000"/>
  </r>
  <r>
    <d v="2025-04-20T00:00:00"/>
    <x v="7"/>
    <s v="SRL-01"/>
    <n v="4"/>
    <n v="29.5"/>
    <n v="144.4"/>
    <n v="3"/>
    <n v="4"/>
    <x v="8"/>
    <n v="7.375"/>
    <s v="Mrs. Okafor"/>
    <n v="503000"/>
  </r>
  <r>
    <d v="2025-06-12T00:00:00"/>
    <x v="3"/>
    <s v="EPE-01"/>
    <n v="6"/>
    <n v="16.8"/>
    <n v="253.9"/>
    <n v="1"/>
    <n v="6"/>
    <x v="7"/>
    <n v="2.8000000000000003"/>
    <s v="Mr. Ogunleye"/>
    <n v="181000"/>
  </r>
  <r>
    <d v="2025-12-01T00:00:00"/>
    <x v="6"/>
    <s v="LKK-01"/>
    <n v="6"/>
    <n v="37.200000000000003"/>
    <n v="206.2"/>
    <n v="2"/>
    <n v="12"/>
    <x v="11"/>
    <n v="6.2"/>
    <s v="Mr. Salami"/>
    <n v="200000"/>
  </r>
  <r>
    <d v="2025-02-10T00:00:00"/>
    <x v="6"/>
    <s v="LKK-02"/>
    <n v="2"/>
    <n v="9.8000000000000007"/>
    <n v="93.1"/>
    <n v="0"/>
    <n v="2"/>
    <x v="5"/>
    <n v="4.9000000000000004"/>
    <s v="Mr. Salami"/>
    <n v="200000"/>
  </r>
  <r>
    <d v="2025-01-12T00:00:00"/>
    <x v="4"/>
    <s v="IKD-02"/>
    <n v="5"/>
    <n v="17.2"/>
    <n v="209.2"/>
    <n v="1"/>
    <n v="1"/>
    <x v="0"/>
    <n v="3.44"/>
    <s v="Mrs. Eze"/>
    <n v="535000"/>
  </r>
  <r>
    <d v="2025-12-24T00:00:00"/>
    <x v="3"/>
    <s v="EPE-01"/>
    <n v="3"/>
    <n v="14.2"/>
    <n v="118.9"/>
    <n v="1"/>
    <n v="12"/>
    <x v="11"/>
    <n v="4.7333333333333334"/>
    <s v="Mr. Ogunleye"/>
    <n v="181000"/>
  </r>
  <r>
    <d v="2025-06-10T00:00:00"/>
    <x v="3"/>
    <s v="EPE-01"/>
    <n v="4"/>
    <n v="15.1"/>
    <n v="164"/>
    <n v="6"/>
    <n v="6"/>
    <x v="7"/>
    <n v="3.7749999999999999"/>
    <s v="Mr. Ogunleye"/>
    <n v="181000"/>
  </r>
  <r>
    <d v="2025-05-08T00:00:00"/>
    <x v="4"/>
    <s v="IKD-03"/>
    <n v="6"/>
    <n v="25.8"/>
    <n v="223.8"/>
    <n v="1"/>
    <n v="5"/>
    <x v="3"/>
    <n v="4.3"/>
    <s v="Mrs. Eze"/>
    <n v="535000"/>
  </r>
  <r>
    <d v="2025-03-28T00:00:00"/>
    <x v="2"/>
    <s v="BDG-02"/>
    <n v="4"/>
    <n v="14.3"/>
    <n v="178.2"/>
    <n v="8"/>
    <n v="3"/>
    <x v="2"/>
    <n v="3.5750000000000002"/>
    <s v="Mrs. Johnson"/>
    <n v="241000"/>
  </r>
  <r>
    <d v="2025-07-11T00:00:00"/>
    <x v="3"/>
    <s v="EPE-02"/>
    <n v="3"/>
    <n v="12"/>
    <n v="115.5"/>
    <n v="3"/>
    <n v="7"/>
    <x v="1"/>
    <n v="4"/>
    <s v="Mr. Ogunleye"/>
    <n v="181000"/>
  </r>
  <r>
    <d v="2025-11-24T00:00:00"/>
    <x v="7"/>
    <s v="SRL-01"/>
    <n v="5"/>
    <n v="33.9"/>
    <n v="163.1"/>
    <n v="0"/>
    <n v="11"/>
    <x v="4"/>
    <n v="6.7799999999999994"/>
    <s v="Mrs. Okafor"/>
    <n v="503000"/>
  </r>
  <r>
    <d v="2025-05-17T00:00:00"/>
    <x v="5"/>
    <s v="IKJ-01"/>
    <n v="6"/>
    <n v="34.799999999999997"/>
    <n v="235.1"/>
    <n v="4"/>
    <n v="5"/>
    <x v="3"/>
    <n v="5.8"/>
    <s v="Mr. Adeyemi"/>
    <n v="313000"/>
  </r>
  <r>
    <d v="2025-08-12T00:00:00"/>
    <x v="2"/>
    <s v="BDG-01"/>
    <n v="5"/>
    <n v="16.3"/>
    <n v="179.2"/>
    <n v="2"/>
    <n v="8"/>
    <x v="6"/>
    <n v="3.2600000000000002"/>
    <s v="Mrs. Johnson"/>
    <n v="241000"/>
  </r>
  <r>
    <d v="2025-11-27T00:00:00"/>
    <x v="1"/>
    <s v="MSH-02"/>
    <n v="3"/>
    <n v="26.9"/>
    <n v="115.7"/>
    <n v="1"/>
    <n v="11"/>
    <x v="4"/>
    <n v="8.9666666666666668"/>
    <s v="Mrs. Adisa"/>
    <n v="633000"/>
  </r>
  <r>
    <d v="2025-03-13T00:00:00"/>
    <x v="1"/>
    <s v="MSH-03"/>
    <n v="6"/>
    <n v="41.6"/>
    <n v="235.4"/>
    <n v="0"/>
    <n v="3"/>
    <x v="2"/>
    <n v="6.9333333333333336"/>
    <s v="Mrs. Adisa"/>
    <n v="633000"/>
  </r>
  <r>
    <d v="2025-07-13T00:00:00"/>
    <x v="6"/>
    <s v="LKK-01"/>
    <n v="5"/>
    <n v="20.3"/>
    <n v="182.1"/>
    <n v="4"/>
    <n v="7"/>
    <x v="1"/>
    <n v="4.0600000000000005"/>
    <s v="Mr. Salami"/>
    <n v="200000"/>
  </r>
  <r>
    <d v="2025-04-25T00:00:00"/>
    <x v="0"/>
    <s v="ALM-04"/>
    <n v="2"/>
    <n v="14"/>
    <n v="55.6"/>
    <n v="1"/>
    <n v="4"/>
    <x v="8"/>
    <n v="7"/>
    <s v="Mr. Bello"/>
    <n v="1288000"/>
  </r>
  <r>
    <d v="2025-02-18T00:00:00"/>
    <x v="7"/>
    <s v="SRL-02"/>
    <n v="3"/>
    <n v="16.8"/>
    <n v="110.4"/>
    <n v="0"/>
    <n v="2"/>
    <x v="5"/>
    <n v="5.6000000000000005"/>
    <s v="Mrs. Okafor"/>
    <n v="503000"/>
  </r>
  <r>
    <d v="2025-11-12T00:00:00"/>
    <x v="0"/>
    <s v="ALM-01"/>
    <n v="3"/>
    <n v="19.8"/>
    <n v="105.9"/>
    <n v="0"/>
    <n v="11"/>
    <x v="4"/>
    <n v="6.6000000000000005"/>
    <s v="Mr. Bello"/>
    <n v="1288000"/>
  </r>
  <r>
    <d v="2025-10-11T00:00:00"/>
    <x v="1"/>
    <s v="MSH-01"/>
    <n v="3"/>
    <n v="27.6"/>
    <n v="122.5"/>
    <n v="0"/>
    <n v="10"/>
    <x v="9"/>
    <n v="9.2000000000000011"/>
    <s v="Mrs. Adisa"/>
    <n v="633000"/>
  </r>
  <r>
    <d v="2025-08-11T00:00:00"/>
    <x v="5"/>
    <s v="IKJ-02"/>
    <n v="2"/>
    <n v="12.2"/>
    <n v="83.4"/>
    <n v="0"/>
    <n v="8"/>
    <x v="6"/>
    <n v="6.1"/>
    <s v="Mr. Adeyemi"/>
    <n v="313000"/>
  </r>
  <r>
    <d v="2025-03-17T00:00:00"/>
    <x v="6"/>
    <s v="LKK-02"/>
    <n v="6"/>
    <n v="32.700000000000003"/>
    <n v="245.2"/>
    <n v="1"/>
    <n v="3"/>
    <x v="2"/>
    <n v="5.45"/>
    <s v="Mr. Salami"/>
    <n v="200000"/>
  </r>
  <r>
    <d v="2025-01-07T00:00:00"/>
    <x v="3"/>
    <s v="EPE-02"/>
    <n v="5"/>
    <n v="15.1"/>
    <n v="208.2"/>
    <n v="3"/>
    <n v="1"/>
    <x v="0"/>
    <n v="3.02"/>
    <s v="Mr. Ogunleye"/>
    <n v="181000"/>
  </r>
  <r>
    <d v="2025-09-07T00:00:00"/>
    <x v="4"/>
    <s v="IKD-01"/>
    <n v="3"/>
    <n v="14.4"/>
    <n v="114.1"/>
    <n v="3"/>
    <n v="9"/>
    <x v="10"/>
    <n v="4.8"/>
    <s v="Mrs. Eze"/>
    <n v="535000"/>
  </r>
  <r>
    <d v="2025-01-12T00:00:00"/>
    <x v="5"/>
    <s v="IKJ-03"/>
    <n v="2"/>
    <n v="13.9"/>
    <n v="79.8"/>
    <n v="0"/>
    <n v="1"/>
    <x v="0"/>
    <n v="6.95"/>
    <s v="Mr. Adeyemi"/>
    <n v="313000"/>
  </r>
  <r>
    <d v="2025-11-18T00:00:00"/>
    <x v="6"/>
    <s v="LKK-02"/>
    <n v="4"/>
    <n v="28.3"/>
    <n v="171.1"/>
    <n v="2"/>
    <n v="11"/>
    <x v="4"/>
    <n v="7.0750000000000002"/>
    <s v="Mr. Salami"/>
    <n v="200000"/>
  </r>
  <r>
    <d v="2025-11-30T00:00:00"/>
    <x v="4"/>
    <s v="IKD-02"/>
    <n v="5"/>
    <n v="20.7"/>
    <n v="200.5"/>
    <n v="0"/>
    <n v="11"/>
    <x v="4"/>
    <n v="4.1399999999999997"/>
    <s v="Mrs. Eze"/>
    <n v="535000"/>
  </r>
  <r>
    <d v="2025-08-29T00:00:00"/>
    <x v="6"/>
    <s v="LKK-02"/>
    <n v="2"/>
    <n v="11.7"/>
    <n v="80.3"/>
    <n v="1"/>
    <n v="8"/>
    <x v="6"/>
    <n v="5.85"/>
    <s v="Mr. Salami"/>
    <n v="200000"/>
  </r>
  <r>
    <d v="2025-10-23T00:00:00"/>
    <x v="1"/>
    <s v="MSH-02"/>
    <n v="6"/>
    <n v="46.2"/>
    <n v="206"/>
    <n v="0"/>
    <n v="10"/>
    <x v="9"/>
    <n v="7.7"/>
    <s v="Mrs. Adisa"/>
    <n v="633000"/>
  </r>
  <r>
    <d v="2025-04-26T00:00:00"/>
    <x v="2"/>
    <s v="BDG-02"/>
    <n v="3"/>
    <n v="12.2"/>
    <n v="111.7"/>
    <n v="2"/>
    <n v="4"/>
    <x v="8"/>
    <n v="4.0666666666666664"/>
    <s v="Mrs. Johnson"/>
    <n v="241000"/>
  </r>
  <r>
    <d v="2025-09-07T00:00:00"/>
    <x v="7"/>
    <s v="SRL-02"/>
    <n v="4"/>
    <n v="24.4"/>
    <n v="157.5"/>
    <n v="2"/>
    <n v="9"/>
    <x v="10"/>
    <n v="6.1"/>
    <s v="Mrs. Okafor"/>
    <n v="503000"/>
  </r>
  <r>
    <d v="2025-12-07T00:00:00"/>
    <x v="2"/>
    <s v="BDG-02"/>
    <n v="3"/>
    <n v="15.7"/>
    <n v="111.7"/>
    <n v="4"/>
    <n v="12"/>
    <x v="11"/>
    <n v="5.2333333333333334"/>
    <s v="Mrs. Johnson"/>
    <n v="241000"/>
  </r>
  <r>
    <d v="2025-09-12T00:00:00"/>
    <x v="2"/>
    <s v="BDG-02"/>
    <n v="2"/>
    <n v="6.3"/>
    <n v="82.7"/>
    <n v="3"/>
    <n v="9"/>
    <x v="10"/>
    <n v="3.15"/>
    <s v="Mrs. Johnson"/>
    <n v="241000"/>
  </r>
  <r>
    <d v="2025-01-10T00:00:00"/>
    <x v="4"/>
    <s v="IKD-02"/>
    <n v="4"/>
    <n v="16.7"/>
    <n v="130.30000000000001"/>
    <n v="1"/>
    <n v="1"/>
    <x v="0"/>
    <n v="4.1749999999999998"/>
    <s v="Mrs. Eze"/>
    <n v="535000"/>
  </r>
  <r>
    <d v="2025-12-06T00:00:00"/>
    <x v="7"/>
    <s v="SRL-01"/>
    <n v="6"/>
    <n v="37.9"/>
    <n v="272.3"/>
    <n v="1"/>
    <n v="12"/>
    <x v="11"/>
    <n v="6.3166666666666664"/>
    <s v="Mrs. Okafor"/>
    <n v="503000"/>
  </r>
  <r>
    <d v="2025-04-24T00:00:00"/>
    <x v="7"/>
    <s v="SRL-01"/>
    <n v="3"/>
    <n v="19.899999999999999"/>
    <n v="86.7"/>
    <n v="1"/>
    <n v="4"/>
    <x v="8"/>
    <n v="6.6333333333333329"/>
    <s v="Mrs. Okafor"/>
    <n v="503000"/>
  </r>
  <r>
    <d v="2025-10-02T00:00:00"/>
    <x v="7"/>
    <s v="SRL-01"/>
    <n v="3"/>
    <n v="17"/>
    <n v="145.1"/>
    <n v="1"/>
    <n v="10"/>
    <x v="9"/>
    <n v="5.666666666666667"/>
    <s v="Mrs. Okafor"/>
    <n v="503000"/>
  </r>
  <r>
    <d v="2025-03-25T00:00:00"/>
    <x v="5"/>
    <s v="IKJ-01"/>
    <n v="4"/>
    <n v="29.4"/>
    <n v="127.6"/>
    <n v="2"/>
    <n v="3"/>
    <x v="2"/>
    <n v="7.35"/>
    <s v="Mr. Adeyemi"/>
    <n v="313000"/>
  </r>
  <r>
    <d v="2025-05-31T00:00:00"/>
    <x v="6"/>
    <s v="LKK-02"/>
    <n v="4"/>
    <n v="22.3"/>
    <n v="198.8"/>
    <n v="3"/>
    <n v="5"/>
    <x v="3"/>
    <n v="5.5750000000000002"/>
    <s v="Mr. Salami"/>
    <n v="200000"/>
  </r>
  <r>
    <d v="2025-04-06T00:00:00"/>
    <x v="4"/>
    <s v="IKD-01"/>
    <n v="3"/>
    <n v="13.1"/>
    <n v="122.5"/>
    <n v="2"/>
    <n v="4"/>
    <x v="8"/>
    <n v="4.3666666666666663"/>
    <s v="Mrs. Eze"/>
    <n v="535000"/>
  </r>
  <r>
    <d v="2025-05-19T00:00:00"/>
    <x v="7"/>
    <s v="SRL-03"/>
    <n v="5"/>
    <n v="35.5"/>
    <n v="143.80000000000001"/>
    <n v="0"/>
    <n v="5"/>
    <x v="3"/>
    <n v="7.1"/>
    <s v="Mrs. Okafor"/>
    <n v="503000"/>
  </r>
  <r>
    <d v="2025-03-05T00:00:00"/>
    <x v="3"/>
    <s v="EPE-02"/>
    <n v="5"/>
    <n v="19.600000000000001"/>
    <n v="186"/>
    <n v="0"/>
    <n v="3"/>
    <x v="2"/>
    <n v="3.9200000000000004"/>
    <s v="Mr. Ogunleye"/>
    <n v="181000"/>
  </r>
  <r>
    <d v="2025-08-21T00:00:00"/>
    <x v="2"/>
    <s v="BDG-02"/>
    <n v="6"/>
    <n v="19.100000000000001"/>
    <n v="221.4"/>
    <n v="4"/>
    <n v="8"/>
    <x v="6"/>
    <n v="3.1833333333333336"/>
    <s v="Mrs. Johnson"/>
    <n v="241000"/>
  </r>
  <r>
    <d v="2025-11-11T00:00:00"/>
    <x v="2"/>
    <s v="BDG-02"/>
    <n v="5"/>
    <m/>
    <n v="182.3"/>
    <n v="0"/>
    <n v="11"/>
    <x v="4"/>
    <m/>
    <s v="Mrs. Johnson"/>
    <n v="241000"/>
  </r>
  <r>
    <d v="2025-09-10T00:00:00"/>
    <x v="1"/>
    <s v="MSH-02"/>
    <n v="4"/>
    <n v="23.5"/>
    <n v="176.8"/>
    <n v="0"/>
    <n v="9"/>
    <x v="10"/>
    <n v="5.875"/>
    <s v="Mrs. Adisa"/>
    <n v="633000"/>
  </r>
  <r>
    <d v="2025-08-21T00:00:00"/>
    <x v="5"/>
    <s v="IKJ-02"/>
    <n v="3"/>
    <n v="15"/>
    <n v="116.7"/>
    <n v="3"/>
    <n v="8"/>
    <x v="6"/>
    <n v="5"/>
    <s v="Mr. Adeyemi"/>
    <n v="313000"/>
  </r>
  <r>
    <d v="2025-01-15T00:00:00"/>
    <x v="1"/>
    <s v="MSH-03"/>
    <n v="2"/>
    <n v="12.4"/>
    <n v="75.5"/>
    <n v="3"/>
    <n v="1"/>
    <x v="0"/>
    <n v="6.2"/>
    <s v="Mrs. Adisa"/>
    <n v="633000"/>
  </r>
  <r>
    <d v="2025-05-26T00:00:00"/>
    <x v="4"/>
    <s v="IKD-02"/>
    <n v="5"/>
    <n v="24.8"/>
    <n v="187.9"/>
    <n v="4"/>
    <n v="5"/>
    <x v="3"/>
    <n v="4.96"/>
    <s v="Mrs. Eze"/>
    <n v="535000"/>
  </r>
  <r>
    <d v="2025-07-08T00:00:00"/>
    <x v="1"/>
    <s v="MSH-02"/>
    <n v="5"/>
    <n v="29.8"/>
    <n v="156"/>
    <n v="2"/>
    <n v="7"/>
    <x v="1"/>
    <n v="5.96"/>
    <s v="Mrs. Adisa"/>
    <n v="633000"/>
  </r>
  <r>
    <d v="2025-11-09T00:00:00"/>
    <x v="3"/>
    <s v="EPE-01"/>
    <n v="2"/>
    <n v="8"/>
    <n v="71.599999999999994"/>
    <n v="0"/>
    <n v="11"/>
    <x v="4"/>
    <n v="4"/>
    <s v="Mr. Ogunleye"/>
    <n v="181000"/>
  </r>
  <r>
    <d v="2025-11-17T00:00:00"/>
    <x v="5"/>
    <s v="IKJ-01"/>
    <n v="2"/>
    <n v="14.9"/>
    <n v="83.7"/>
    <n v="1"/>
    <n v="11"/>
    <x v="4"/>
    <n v="7.45"/>
    <s v="Mr. Adeyemi"/>
    <n v="313000"/>
  </r>
  <r>
    <d v="2025-02-08T00:00:00"/>
    <x v="2"/>
    <s v="BDG-02"/>
    <n v="5"/>
    <n v="19.600000000000001"/>
    <n v="198"/>
    <n v="1"/>
    <n v="2"/>
    <x v="5"/>
    <n v="3.9200000000000004"/>
    <s v="Mrs. Johnson"/>
    <n v="241000"/>
  </r>
  <r>
    <d v="2025-08-23T00:00:00"/>
    <x v="0"/>
    <s v="ALM-03"/>
    <n v="3"/>
    <n v="21.4"/>
    <n v="106.6"/>
    <n v="0"/>
    <n v="8"/>
    <x v="6"/>
    <n v="7.1333333333333329"/>
    <s v="Mr. Bello"/>
    <n v="1288000"/>
  </r>
  <r>
    <d v="2025-07-14T00:00:00"/>
    <x v="4"/>
    <s v="IKD-02"/>
    <n v="4"/>
    <n v="17.100000000000001"/>
    <n v="165.6"/>
    <n v="5"/>
    <n v="7"/>
    <x v="1"/>
    <n v="4.2750000000000004"/>
    <s v="Mrs. Eze"/>
    <n v="535000"/>
  </r>
  <r>
    <d v="2025-10-18T00:00:00"/>
    <x v="5"/>
    <s v="IKJ-03"/>
    <n v="3"/>
    <n v="19.2"/>
    <n v="103.8"/>
    <n v="1"/>
    <n v="10"/>
    <x v="9"/>
    <n v="6.3999999999999995"/>
    <s v="Mr. Adeyemi"/>
    <n v="313000"/>
  </r>
  <r>
    <d v="2025-08-05T00:00:00"/>
    <x v="2"/>
    <s v="BDG-02"/>
    <n v="6"/>
    <n v="17"/>
    <n v="246.4"/>
    <n v="4"/>
    <n v="8"/>
    <x v="6"/>
    <n v="2.8333333333333335"/>
    <s v="Mrs. Johnson"/>
    <n v="241000"/>
  </r>
  <r>
    <d v="2025-02-02T00:00:00"/>
    <x v="2"/>
    <s v="BDG-02"/>
    <n v="3"/>
    <n v="9.1999999999999993"/>
    <n v="102.7"/>
    <n v="6"/>
    <n v="2"/>
    <x v="5"/>
    <n v="3.0666666666666664"/>
    <s v="Mrs. Johnson"/>
    <n v="241000"/>
  </r>
  <r>
    <d v="2025-03-14T00:00:00"/>
    <x v="2"/>
    <s v="BDG-01"/>
    <n v="5"/>
    <n v="19.899999999999999"/>
    <n v="167.4"/>
    <n v="2"/>
    <n v="3"/>
    <x v="2"/>
    <n v="3.9799999999999995"/>
    <s v="Mrs. Johnson"/>
    <n v="241000"/>
  </r>
  <r>
    <d v="2025-07-04T00:00:00"/>
    <x v="3"/>
    <s v="EPE-01"/>
    <n v="5"/>
    <n v="20.100000000000001"/>
    <n v="197.7"/>
    <n v="6"/>
    <n v="7"/>
    <x v="1"/>
    <n v="4.0200000000000005"/>
    <s v="Mr. Ogunleye"/>
    <n v="181000"/>
  </r>
  <r>
    <d v="2025-11-05T00:00:00"/>
    <x v="3"/>
    <s v="EPE-02"/>
    <n v="5"/>
    <n v="20.8"/>
    <n v="170.8"/>
    <n v="3"/>
    <n v="11"/>
    <x v="4"/>
    <n v="4.16"/>
    <s v="Mr. Ogunleye"/>
    <n v="181000"/>
  </r>
  <r>
    <d v="2025-11-02T00:00:00"/>
    <x v="4"/>
    <s v="IKD-02"/>
    <n v="6"/>
    <n v="25.8"/>
    <n v="226.9"/>
    <n v="1"/>
    <n v="11"/>
    <x v="4"/>
    <n v="4.3"/>
    <s v="Mrs. Eze"/>
    <n v="535000"/>
  </r>
  <r>
    <d v="2025-05-29T00:00:00"/>
    <x v="3"/>
    <s v="EPE-01"/>
    <n v="4"/>
    <n v="15.8"/>
    <n v="117.4"/>
    <n v="3"/>
    <n v="5"/>
    <x v="3"/>
    <n v="3.95"/>
    <s v="Mr. Ogunleye"/>
    <n v="181000"/>
  </r>
  <r>
    <d v="2025-06-19T00:00:00"/>
    <x v="7"/>
    <s v="SRL-01"/>
    <n v="5"/>
    <n v="34.200000000000003"/>
    <n v="165.2"/>
    <n v="3"/>
    <n v="6"/>
    <x v="7"/>
    <n v="6.8400000000000007"/>
    <s v="Mrs. Okafor"/>
    <n v="503000"/>
  </r>
  <r>
    <d v="2025-11-30T00:00:00"/>
    <x v="4"/>
    <s v="IKD-03"/>
    <n v="4"/>
    <n v="17.8"/>
    <n v="159.30000000000001"/>
    <n v="4"/>
    <n v="11"/>
    <x v="4"/>
    <n v="4.45"/>
    <s v="Mrs. Eze"/>
    <n v="535000"/>
  </r>
  <r>
    <d v="2025-10-26T00:00:00"/>
    <x v="6"/>
    <s v="LKK-01"/>
    <n v="4"/>
    <n v="20.9"/>
    <n v="157.1"/>
    <n v="1"/>
    <n v="10"/>
    <x v="9"/>
    <n v="5.2249999999999996"/>
    <s v="Mr. Salami"/>
    <n v="200000"/>
  </r>
  <r>
    <d v="2025-12-04T00:00:00"/>
    <x v="7"/>
    <s v="SRL-02"/>
    <n v="4"/>
    <n v="30.8"/>
    <n v="151.30000000000001"/>
    <n v="1"/>
    <n v="12"/>
    <x v="11"/>
    <n v="7.7"/>
    <s v="Mrs. Okafor"/>
    <n v="503000"/>
  </r>
  <r>
    <d v="2025-03-31T00:00:00"/>
    <x v="3"/>
    <s v="EPE-02"/>
    <n v="3"/>
    <n v="11.1"/>
    <n v="101.7"/>
    <n v="1"/>
    <n v="3"/>
    <x v="2"/>
    <n v="3.6999999999999997"/>
    <s v="Mr. Ogunleye"/>
    <n v="181000"/>
  </r>
  <r>
    <d v="2025-11-12T00:00:00"/>
    <x v="3"/>
    <s v="EPE-02"/>
    <n v="2"/>
    <n v="7.8"/>
    <n v="91.5"/>
    <n v="0"/>
    <n v="11"/>
    <x v="4"/>
    <n v="3.9"/>
    <s v="Mr. Ogunleye"/>
    <n v="181000"/>
  </r>
  <r>
    <d v="2025-09-01T00:00:00"/>
    <x v="4"/>
    <s v="IKD-01"/>
    <n v="3"/>
    <n v="12.5"/>
    <n v="110.9"/>
    <n v="3"/>
    <n v="9"/>
    <x v="10"/>
    <n v="4.166666666666667"/>
    <s v="Mrs. Eze"/>
    <n v="535000"/>
  </r>
  <r>
    <d v="2025-10-29T00:00:00"/>
    <x v="7"/>
    <s v="SRL-02"/>
    <n v="4"/>
    <m/>
    <n v="135.19999999999999"/>
    <n v="0"/>
    <n v="10"/>
    <x v="9"/>
    <m/>
    <s v="Mrs. Okafor"/>
    <n v="503000"/>
  </r>
  <r>
    <d v="2025-03-15T00:00:00"/>
    <x v="5"/>
    <s v="IKJ-02"/>
    <n v="5"/>
    <n v="29"/>
    <n v="161"/>
    <n v="0"/>
    <n v="3"/>
    <x v="2"/>
    <n v="5.8"/>
    <s v="Mr. Adeyemi"/>
    <n v="313000"/>
  </r>
  <r>
    <d v="2025-10-09T00:00:00"/>
    <x v="5"/>
    <s v="IKJ-01"/>
    <n v="4"/>
    <n v="25.8"/>
    <n v="131.69999999999999"/>
    <n v="1"/>
    <n v="10"/>
    <x v="9"/>
    <n v="6.45"/>
    <s v="Mr. Adeyemi"/>
    <n v="313000"/>
  </r>
  <r>
    <d v="2025-03-06T00:00:00"/>
    <x v="5"/>
    <s v="IKJ-03"/>
    <n v="2"/>
    <n v="12.1"/>
    <m/>
    <n v="1"/>
    <n v="3"/>
    <x v="2"/>
    <n v="6.05"/>
    <s v="Mr. Adeyemi"/>
    <n v="313000"/>
  </r>
  <r>
    <d v="2025-09-26T00:00:00"/>
    <x v="3"/>
    <s v="EPE-02"/>
    <n v="5"/>
    <n v="14.2"/>
    <n v="181.3"/>
    <n v="3"/>
    <n v="9"/>
    <x v="10"/>
    <n v="2.84"/>
    <s v="Mr. Ogunleye"/>
    <n v="181000"/>
  </r>
  <r>
    <d v="2025-03-10T00:00:00"/>
    <x v="6"/>
    <s v="LKK-02"/>
    <n v="5"/>
    <n v="32.700000000000003"/>
    <n v="202"/>
    <n v="1"/>
    <n v="3"/>
    <x v="2"/>
    <n v="6.5400000000000009"/>
    <s v="Mr. Salami"/>
    <n v="200000"/>
  </r>
  <r>
    <d v="2025-02-04T00:00:00"/>
    <x v="2"/>
    <s v="BDG-02"/>
    <n v="5"/>
    <n v="12.3"/>
    <n v="220.6"/>
    <n v="2"/>
    <n v="2"/>
    <x v="5"/>
    <n v="2.46"/>
    <s v="Mrs. Johnson"/>
    <n v="241000"/>
  </r>
  <r>
    <d v="2025-05-27T00:00:00"/>
    <x v="5"/>
    <s v="IKJ-01"/>
    <n v="6"/>
    <n v="41.7"/>
    <n v="236"/>
    <n v="3"/>
    <n v="5"/>
    <x v="3"/>
    <n v="6.95"/>
    <s v="Mr. Adeyemi"/>
    <n v="313000"/>
  </r>
  <r>
    <d v="2025-07-14T00:00:00"/>
    <x v="1"/>
    <s v=""/>
    <n v="3"/>
    <n v="17.100000000000001"/>
    <n v="99.6"/>
    <n v="1"/>
    <n v="7"/>
    <x v="1"/>
    <n v="5.7"/>
    <s v="Mrs. Adisa"/>
    <n v="633000"/>
  </r>
  <r>
    <d v="2025-05-27T00:00:00"/>
    <x v="7"/>
    <s v="SRL-01"/>
    <n v="2"/>
    <n v="11.4"/>
    <n v="81.599999999999994"/>
    <n v="1"/>
    <n v="5"/>
    <x v="3"/>
    <n v="5.7"/>
    <s v="Mrs. Okafor"/>
    <n v="503000"/>
  </r>
  <r>
    <d v="2025-07-01T00:00:00"/>
    <x v="4"/>
    <s v="IKD-01"/>
    <n v="5"/>
    <n v="17.2"/>
    <n v="198"/>
    <n v="2"/>
    <n v="7"/>
    <x v="1"/>
    <n v="3.44"/>
    <s v="Mrs. Eze"/>
    <n v="535000"/>
  </r>
  <r>
    <d v="2025-06-07T00:00:00"/>
    <x v="4"/>
    <s v="IKD-03"/>
    <n v="4"/>
    <n v="14.1"/>
    <n v="150.1"/>
    <n v="1"/>
    <n v="6"/>
    <x v="7"/>
    <n v="3.5249999999999999"/>
    <s v="Mrs. Eze"/>
    <n v="535000"/>
  </r>
  <r>
    <d v="2025-09-20T00:00:00"/>
    <x v="3"/>
    <s v="EPE-02"/>
    <n v="2"/>
    <n v="6.6"/>
    <n v="74.7"/>
    <n v="3"/>
    <n v="9"/>
    <x v="10"/>
    <n v="3.3"/>
    <s v="Mr. Ogunleye"/>
    <n v="181000"/>
  </r>
  <r>
    <d v="2025-12-27T00:00:00"/>
    <x v="1"/>
    <s v="MSH-03"/>
    <n v="2"/>
    <n v="19.5"/>
    <n v="81.5"/>
    <n v="2"/>
    <n v="12"/>
    <x v="11"/>
    <n v="9.75"/>
    <s v="Mrs. Adisa"/>
    <n v="633000"/>
  </r>
  <r>
    <d v="2025-09-27T00:00:00"/>
    <x v="7"/>
    <s v="SRL-01"/>
    <n v="6"/>
    <n v="32.299999999999997"/>
    <n v="235.8"/>
    <n v="0"/>
    <n v="9"/>
    <x v="10"/>
    <n v="5.3833333333333329"/>
    <s v="Mrs. Okafor"/>
    <n v="503000"/>
  </r>
  <r>
    <d v="2025-03-13T00:00:00"/>
    <x v="2"/>
    <s v="BDG-02"/>
    <n v="5"/>
    <n v="17.5"/>
    <n v="172.9"/>
    <n v="3"/>
    <n v="3"/>
    <x v="2"/>
    <n v="3.5"/>
    <s v="Mrs. Johnson"/>
    <n v="241000"/>
  </r>
  <r>
    <d v="2025-09-13T00:00:00"/>
    <x v="2"/>
    <s v="BDG-01"/>
    <n v="3"/>
    <n v="11.1"/>
    <n v="125.3"/>
    <n v="1"/>
    <n v="9"/>
    <x v="10"/>
    <n v="3.6999999999999997"/>
    <s v="Mrs. Johnson"/>
    <n v="241000"/>
  </r>
  <r>
    <d v="2025-04-21T00:00:00"/>
    <x v="1"/>
    <s v="MSH-02"/>
    <n v="3"/>
    <n v="18.5"/>
    <n v="106.6"/>
    <n v="0"/>
    <n v="4"/>
    <x v="8"/>
    <n v="6.166666666666667"/>
    <s v="Mrs. Adisa"/>
    <n v="633000"/>
  </r>
  <r>
    <d v="2025-05-17T00:00:00"/>
    <x v="5"/>
    <s v="IKJ-02"/>
    <n v="6"/>
    <n v="34.5"/>
    <n v="263.7"/>
    <n v="0"/>
    <n v="5"/>
    <x v="3"/>
    <n v="5.75"/>
    <s v="Mr. Adeyemi"/>
    <n v="313000"/>
  </r>
  <r>
    <d v="2025-01-23T00:00:00"/>
    <x v="0"/>
    <s v="ALM-04"/>
    <n v="4"/>
    <n v="22.9"/>
    <n v="170.5"/>
    <n v="1"/>
    <n v="1"/>
    <x v="0"/>
    <n v="5.7249999999999996"/>
    <s v="Mr. Bello"/>
    <n v="1288000"/>
  </r>
  <r>
    <d v="2025-11-07T00:00:00"/>
    <x v="0"/>
    <s v="ALM-01"/>
    <n v="3"/>
    <n v="26.4"/>
    <n v="109.7"/>
    <n v="3"/>
    <n v="11"/>
    <x v="4"/>
    <n v="8.7999999999999989"/>
    <s v="Mr. Bello"/>
    <n v="1288000"/>
  </r>
  <r>
    <d v="2025-10-18T00:00:00"/>
    <x v="3"/>
    <s v="EPE-01"/>
    <n v="4"/>
    <n v="16.5"/>
    <n v="147.5"/>
    <n v="6"/>
    <n v="10"/>
    <x v="9"/>
    <n v="4.125"/>
    <s v="Mr. Ogunleye"/>
    <n v="181000"/>
  </r>
  <r>
    <d v="2025-01-27T00:00:00"/>
    <x v="1"/>
    <s v="MSH-02"/>
    <n v="6"/>
    <n v="33.799999999999997"/>
    <n v="288.89999999999998"/>
    <n v="2"/>
    <n v="1"/>
    <x v="0"/>
    <n v="5.6333333333333329"/>
    <s v="Mrs. Adisa"/>
    <n v="633000"/>
  </r>
  <r>
    <d v="2025-09-30T00:00:00"/>
    <x v="2"/>
    <s v="BDG-02"/>
    <n v="6"/>
    <n v="31.6"/>
    <n v="192.9"/>
    <n v="2"/>
    <n v="9"/>
    <x v="10"/>
    <n v="5.2666666666666666"/>
    <s v="Mrs. Johnson"/>
    <n v="241000"/>
  </r>
  <r>
    <d v="2025-01-28T00:00:00"/>
    <x v="6"/>
    <s v="LKK-02"/>
    <n v="6"/>
    <n v="37.6"/>
    <m/>
    <n v="3"/>
    <n v="1"/>
    <x v="0"/>
    <n v="6.2666666666666666"/>
    <s v="Mr. Salami"/>
    <n v="200000"/>
  </r>
  <r>
    <d v="2025-12-16T00:00:00"/>
    <x v="5"/>
    <s v="IKJ-02"/>
    <n v="6"/>
    <n v="52"/>
    <n v="226.9"/>
    <n v="0"/>
    <n v="12"/>
    <x v="11"/>
    <n v="8.6666666666666661"/>
    <s v="Mr. Adeyemi"/>
    <n v="313000"/>
  </r>
  <r>
    <d v="2025-04-23T00:00:00"/>
    <x v="3"/>
    <s v="EPE-01"/>
    <n v="4"/>
    <n v="14"/>
    <n v="156.1"/>
    <n v="2"/>
    <n v="4"/>
    <x v="8"/>
    <n v="3.5"/>
    <s v="Mr. Ogunleye"/>
    <n v="181000"/>
  </r>
  <r>
    <d v="2025-06-04T00:00:00"/>
    <x v="0"/>
    <s v="ALM-02"/>
    <n v="2"/>
    <n v="13.3"/>
    <n v="74.3"/>
    <n v="3"/>
    <n v="6"/>
    <x v="7"/>
    <n v="6.65"/>
    <s v="Mr. Bello"/>
    <n v="1288000"/>
  </r>
  <r>
    <d v="2025-03-07T00:00:00"/>
    <x v="6"/>
    <s v="LKK-01"/>
    <n v="3"/>
    <n v="17.100000000000001"/>
    <n v="118.2"/>
    <n v="3"/>
    <n v="3"/>
    <x v="2"/>
    <n v="5.7"/>
    <s v="Mr. Salami"/>
    <n v="200000"/>
  </r>
  <r>
    <d v="2025-09-03T00:00:00"/>
    <x v="3"/>
    <s v="EPE-02"/>
    <n v="6"/>
    <n v="19.399999999999999"/>
    <n v="241.8"/>
    <n v="4"/>
    <n v="9"/>
    <x v="10"/>
    <n v="3.2333333333333329"/>
    <s v="Mr. Ogunleye"/>
    <n v="181000"/>
  </r>
  <r>
    <d v="2025-12-05T00:00:00"/>
    <x v="5"/>
    <s v="IKJ-02"/>
    <n v="2"/>
    <n v="16.2"/>
    <n v="83.8"/>
    <n v="2"/>
    <n v="12"/>
    <x v="11"/>
    <n v="8.1"/>
    <s v="Mr. Adeyemi"/>
    <n v="313000"/>
  </r>
  <r>
    <d v="2025-06-13T00:00:00"/>
    <x v="1"/>
    <s v="MSH-03"/>
    <n v="4"/>
    <n v="29"/>
    <n v="150.19999999999999"/>
    <n v="2"/>
    <n v="6"/>
    <x v="7"/>
    <n v="7.25"/>
    <s v="Mrs. Adisa"/>
    <n v="633000"/>
  </r>
  <r>
    <d v="2025-10-31T00:00:00"/>
    <x v="1"/>
    <s v="MSH-01"/>
    <n v="4"/>
    <n v="27.6"/>
    <n v="140.1"/>
    <n v="2"/>
    <n v="10"/>
    <x v="9"/>
    <n v="6.9"/>
    <s v="Mrs. Adisa"/>
    <n v="633000"/>
  </r>
  <r>
    <d v="2025-08-27T00:00:00"/>
    <x v="0"/>
    <s v="ALM-04"/>
    <n v="5"/>
    <n v="34.5"/>
    <n v="183.9"/>
    <n v="4"/>
    <n v="8"/>
    <x v="6"/>
    <n v="6.9"/>
    <s v="Mr. Bello"/>
    <n v="1288000"/>
  </r>
  <r>
    <d v="2025-07-09T00:00:00"/>
    <x v="6"/>
    <s v="LKK-02"/>
    <n v="2"/>
    <n v="9.9"/>
    <n v="46.4"/>
    <n v="1"/>
    <n v="7"/>
    <x v="1"/>
    <n v="4.95"/>
    <s v="Mr. Salami"/>
    <n v="200000"/>
  </r>
  <r>
    <d v="2025-08-18T00:00:00"/>
    <x v="1"/>
    <s v="MSH-01"/>
    <n v="2"/>
    <n v="12.3"/>
    <n v="73.5"/>
    <n v="1"/>
    <n v="8"/>
    <x v="6"/>
    <n v="6.15"/>
    <s v="Mrs. Adisa"/>
    <n v="633000"/>
  </r>
  <r>
    <d v="2025-11-10T00:00:00"/>
    <x v="3"/>
    <s v="EPE-02"/>
    <n v="2"/>
    <n v="8"/>
    <n v="79"/>
    <n v="0"/>
    <n v="11"/>
    <x v="4"/>
    <n v="4"/>
    <s v="Mr. Ogunleye"/>
    <n v="181000"/>
  </r>
  <r>
    <d v="2025-01-27T00:00:00"/>
    <x v="6"/>
    <s v="LKK-01"/>
    <n v="3"/>
    <n v="14.2"/>
    <n v="87.6"/>
    <n v="1"/>
    <n v="1"/>
    <x v="0"/>
    <n v="4.7333333333333334"/>
    <s v="Mr. Salami"/>
    <n v="200000"/>
  </r>
  <r>
    <d v="2025-02-13T00:00:00"/>
    <x v="5"/>
    <s v="IKJ-02"/>
    <n v="4"/>
    <n v="26.1"/>
    <n v="139.80000000000001"/>
    <n v="2"/>
    <n v="2"/>
    <x v="5"/>
    <n v="6.5250000000000004"/>
    <s v="Mr. Adeyemi"/>
    <n v="313000"/>
  </r>
  <r>
    <d v="2025-09-21T00:00:00"/>
    <x v="6"/>
    <s v="LKK-02"/>
    <n v="3"/>
    <n v="15.3"/>
    <n v="90.2"/>
    <n v="2"/>
    <n v="9"/>
    <x v="10"/>
    <n v="5.1000000000000005"/>
    <s v="Mr. Salami"/>
    <n v="200000"/>
  </r>
  <r>
    <d v="2025-10-30T00:00:00"/>
    <x v="6"/>
    <s v="LKK-02"/>
    <n v="5"/>
    <n v="19"/>
    <n v="145.80000000000001"/>
    <n v="0"/>
    <n v="10"/>
    <x v="9"/>
    <n v="3.8"/>
    <s v="Mr. Salami"/>
    <n v="200000"/>
  </r>
  <r>
    <d v="2025-08-17T00:00:00"/>
    <x v="7"/>
    <s v="SRL-01"/>
    <n v="4"/>
    <n v="26.4"/>
    <n v="142"/>
    <n v="5"/>
    <n v="8"/>
    <x v="6"/>
    <n v="6.6"/>
    <s v="Mrs. Okafor"/>
    <n v="503000"/>
  </r>
  <r>
    <d v="2025-04-18T00:00:00"/>
    <x v="5"/>
    <s v="IKJ-02"/>
    <n v="4"/>
    <n v="30"/>
    <n v="164.5"/>
    <n v="2"/>
    <n v="4"/>
    <x v="8"/>
    <n v="7.5"/>
    <s v="Mr. Adeyemi"/>
    <n v="313000"/>
  </r>
  <r>
    <d v="2025-06-06T00:00:00"/>
    <x v="1"/>
    <s v="MSH-03"/>
    <n v="6"/>
    <n v="44.7"/>
    <n v="266.8"/>
    <n v="0"/>
    <n v="6"/>
    <x v="7"/>
    <n v="7.45"/>
    <s v="Mrs. Adisa"/>
    <n v="633000"/>
  </r>
  <r>
    <d v="2025-03-29T00:00:00"/>
    <x v="7"/>
    <s v="SRL-01"/>
    <n v="4"/>
    <n v="24.6"/>
    <n v="168.4"/>
    <n v="2"/>
    <n v="3"/>
    <x v="2"/>
    <n v="6.15"/>
    <s v="Mrs. Okafor"/>
    <n v="503000"/>
  </r>
  <r>
    <d v="2025-02-28T00:00:00"/>
    <x v="3"/>
    <s v="EPE-02"/>
    <n v="4"/>
    <n v="11.1"/>
    <n v="156.4"/>
    <n v="3"/>
    <n v="2"/>
    <x v="5"/>
    <n v="2.7749999999999999"/>
    <s v="Mr. Ogunleye"/>
    <n v="181000"/>
  </r>
  <r>
    <d v="2025-08-23T00:00:00"/>
    <x v="5"/>
    <s v="IKJ-03"/>
    <n v="5"/>
    <n v="29.5"/>
    <n v="220.8"/>
    <n v="0"/>
    <n v="8"/>
    <x v="6"/>
    <n v="5.9"/>
    <s v="Mr. Adeyemi"/>
    <n v="313000"/>
  </r>
  <r>
    <d v="2025-07-02T00:00:00"/>
    <x v="2"/>
    <s v="BDG-02"/>
    <n v="6"/>
    <n v="21"/>
    <n v="204"/>
    <n v="1"/>
    <n v="7"/>
    <x v="1"/>
    <n v="3.5"/>
    <s v="Mrs. Johnson"/>
    <n v="241000"/>
  </r>
  <r>
    <d v="2025-01-11T00:00:00"/>
    <x v="7"/>
    <s v="SRL-02"/>
    <n v="6"/>
    <n v="40.299999999999997"/>
    <n v="256.3"/>
    <n v="0"/>
    <n v="1"/>
    <x v="0"/>
    <n v="6.7166666666666659"/>
    <s v="Mrs. Okafor"/>
    <n v="503000"/>
  </r>
  <r>
    <d v="2025-08-01T00:00:00"/>
    <x v="2"/>
    <s v="BDG-01"/>
    <n v="4"/>
    <n v="17.3"/>
    <n v="122.7"/>
    <n v="4"/>
    <n v="8"/>
    <x v="6"/>
    <n v="4.3250000000000002"/>
    <s v="Mrs. Johnson"/>
    <n v="241000"/>
  </r>
  <r>
    <d v="2025-02-21T00:00:00"/>
    <x v="6"/>
    <s v="LKK-02"/>
    <n v="6"/>
    <n v="30"/>
    <n v="237"/>
    <n v="2"/>
    <n v="2"/>
    <x v="5"/>
    <n v="5"/>
    <s v="Mr. Salami"/>
    <n v="200000"/>
  </r>
  <r>
    <d v="2025-06-21T00:00:00"/>
    <x v="2"/>
    <s v="BDG-01"/>
    <n v="6"/>
    <n v="24.4"/>
    <n v="195"/>
    <n v="3"/>
    <n v="6"/>
    <x v="7"/>
    <n v="4.0666666666666664"/>
    <s v="Mrs. Johnson"/>
    <n v="241000"/>
  </r>
  <r>
    <d v="2025-11-16T00:00:00"/>
    <x v="5"/>
    <s v="IKJ-01"/>
    <n v="6"/>
    <n v="56.4"/>
    <n v="203.5"/>
    <n v="0"/>
    <n v="11"/>
    <x v="4"/>
    <n v="9.4"/>
    <s v="Mr. Adeyemi"/>
    <n v="313000"/>
  </r>
  <r>
    <d v="2025-10-19T00:00:00"/>
    <x v="5"/>
    <s v="IKJ-02"/>
    <n v="6"/>
    <n v="44"/>
    <n v="163.9"/>
    <n v="2"/>
    <n v="10"/>
    <x v="9"/>
    <n v="7.333333333333333"/>
    <s v="Mr. Adeyemi"/>
    <n v="313000"/>
  </r>
  <r>
    <d v="2025-06-30T00:00:00"/>
    <x v="1"/>
    <s v=""/>
    <n v="6"/>
    <n v="38.700000000000003"/>
    <n v="206.2"/>
    <n v="1"/>
    <n v="6"/>
    <x v="7"/>
    <n v="6.45"/>
    <s v="Mrs. Adisa"/>
    <n v="633000"/>
  </r>
  <r>
    <d v="2025-06-01T00:00:00"/>
    <x v="4"/>
    <s v="IKD-01"/>
    <n v="6"/>
    <n v="26.6"/>
    <n v="198.5"/>
    <n v="1"/>
    <n v="6"/>
    <x v="7"/>
    <n v="4.4333333333333336"/>
    <s v="Mrs. Eze"/>
    <n v="535000"/>
  </r>
  <r>
    <d v="2025-11-13T00:00:00"/>
    <x v="5"/>
    <s v="IKJ-01"/>
    <n v="3"/>
    <n v="21.1"/>
    <n v="119.4"/>
    <n v="2"/>
    <n v="11"/>
    <x v="4"/>
    <n v="7.0333333333333341"/>
    <s v="Mr. Adeyemi"/>
    <n v="313000"/>
  </r>
  <r>
    <d v="2025-02-10T00:00:00"/>
    <x v="0"/>
    <s v="ALM-04"/>
    <n v="4"/>
    <n v="27.3"/>
    <n v="147.80000000000001"/>
    <n v="1"/>
    <n v="2"/>
    <x v="5"/>
    <n v="6.8250000000000002"/>
    <s v="Mr. Bello"/>
    <n v="1288000"/>
  </r>
  <r>
    <d v="2025-03-13T00:00:00"/>
    <x v="7"/>
    <s v="SRL-01"/>
    <n v="5"/>
    <n v="27.9"/>
    <n v="180.9"/>
    <n v="2"/>
    <n v="3"/>
    <x v="2"/>
    <n v="5.58"/>
    <s v="Mrs. Okafor"/>
    <n v="503000"/>
  </r>
  <r>
    <d v="2025-10-17T00:00:00"/>
    <x v="5"/>
    <s v="IKJ-02"/>
    <n v="3"/>
    <n v="18.8"/>
    <n v="112.9"/>
    <n v="0"/>
    <n v="10"/>
    <x v="9"/>
    <n v="6.2666666666666666"/>
    <s v="Mr. Adeyemi"/>
    <n v="313000"/>
  </r>
  <r>
    <d v="2025-03-28T00:00:00"/>
    <x v="2"/>
    <s v="BDG-02"/>
    <n v="4"/>
    <n v="11.8"/>
    <n v="131.6"/>
    <n v="2"/>
    <n v="3"/>
    <x v="2"/>
    <n v="2.95"/>
    <s v="Mrs. Johnson"/>
    <n v="241000"/>
  </r>
  <r>
    <d v="2025-11-06T00:00:00"/>
    <x v="0"/>
    <s v="ALM-01"/>
    <n v="2"/>
    <n v="15.6"/>
    <n v="58.2"/>
    <n v="1"/>
    <n v="11"/>
    <x v="4"/>
    <n v="7.8"/>
    <s v="Mr. Bello"/>
    <n v="1288000"/>
  </r>
  <r>
    <d v="2025-04-02T00:00:00"/>
    <x v="0"/>
    <s v="ALM-04"/>
    <n v="6"/>
    <n v="47.1"/>
    <n v="237.2"/>
    <n v="0"/>
    <n v="4"/>
    <x v="8"/>
    <n v="7.8500000000000005"/>
    <s v="Mr. Bello"/>
    <n v="1288000"/>
  </r>
  <r>
    <d v="2025-09-23T00:00:00"/>
    <x v="4"/>
    <s v="IKD-02"/>
    <n v="5"/>
    <n v="19.5"/>
    <n v="154.6"/>
    <n v="3"/>
    <n v="9"/>
    <x v="10"/>
    <n v="3.9"/>
    <s v="Mrs. Eze"/>
    <n v="535000"/>
  </r>
  <r>
    <d v="2025-04-12T00:00:00"/>
    <x v="3"/>
    <s v="EPE-01"/>
    <n v="5"/>
    <n v="21.4"/>
    <n v="235.8"/>
    <n v="1"/>
    <n v="4"/>
    <x v="8"/>
    <n v="4.2799999999999994"/>
    <s v="Mr. Ogunleye"/>
    <n v="181000"/>
  </r>
  <r>
    <d v="2025-03-22T00:00:00"/>
    <x v="0"/>
    <s v="ALM-04"/>
    <n v="3"/>
    <n v="24"/>
    <n v="125.3"/>
    <n v="0"/>
    <n v="3"/>
    <x v="2"/>
    <n v="8"/>
    <s v="Mr. Bello"/>
    <n v="1288000"/>
  </r>
  <r>
    <d v="2025-01-23T00:00:00"/>
    <x v="1"/>
    <s v="MSH-02"/>
    <n v="4"/>
    <n v="29"/>
    <n v="135.80000000000001"/>
    <n v="1"/>
    <n v="1"/>
    <x v="0"/>
    <n v="7.25"/>
    <s v="Mrs. Adisa"/>
    <n v="633000"/>
  </r>
  <r>
    <d v="2025-04-26T00:00:00"/>
    <x v="2"/>
    <s v="BDG-01"/>
    <n v="2"/>
    <n v="8"/>
    <n v="73"/>
    <n v="0"/>
    <n v="4"/>
    <x v="8"/>
    <n v="4"/>
    <s v="Mrs. Johnson"/>
    <n v="241000"/>
  </r>
  <r>
    <d v="2025-01-20T00:00:00"/>
    <x v="2"/>
    <s v="BDG-02"/>
    <n v="2"/>
    <n v="7.4"/>
    <n v="70.3"/>
    <n v="2"/>
    <n v="1"/>
    <x v="0"/>
    <n v="3.7"/>
    <s v="Mrs. Johnson"/>
    <n v="241000"/>
  </r>
  <r>
    <d v="2025-09-16T00:00:00"/>
    <x v="2"/>
    <s v="BDG-02"/>
    <n v="5"/>
    <n v="16.8"/>
    <n v="208.9"/>
    <n v="2"/>
    <n v="9"/>
    <x v="10"/>
    <n v="3.3600000000000003"/>
    <s v="Mrs. Johnson"/>
    <n v="241000"/>
  </r>
  <r>
    <d v="2025-05-02T00:00:00"/>
    <x v="2"/>
    <s v="BDG-02"/>
    <n v="4"/>
    <n v="14.7"/>
    <n v="149.19999999999999"/>
    <n v="3"/>
    <n v="5"/>
    <x v="3"/>
    <n v="3.6749999999999998"/>
    <s v="Mrs. Johnson"/>
    <n v="241000"/>
  </r>
  <r>
    <d v="2025-07-23T00:00:00"/>
    <x v="5"/>
    <s v="IKJ-01"/>
    <n v="5"/>
    <n v="39.799999999999997"/>
    <n v="196.9"/>
    <n v="1"/>
    <n v="7"/>
    <x v="1"/>
    <n v="7.9599999999999991"/>
    <s v="Mr. Adeyemi"/>
    <n v="313000"/>
  </r>
  <r>
    <d v="2025-12-24T00:00:00"/>
    <x v="7"/>
    <s v="SRL-02"/>
    <n v="6"/>
    <n v="56.6"/>
    <n v="225.2"/>
    <n v="1"/>
    <n v="12"/>
    <x v="11"/>
    <n v="9.4333333333333336"/>
    <s v="Mrs. Okafor"/>
    <n v="503000"/>
  </r>
  <r>
    <d v="2025-02-11T00:00:00"/>
    <x v="0"/>
    <s v="ALM-03"/>
    <n v="4"/>
    <n v="25"/>
    <n v="139.1"/>
    <n v="0"/>
    <n v="2"/>
    <x v="5"/>
    <n v="6.25"/>
    <s v="Mr. Bello"/>
    <n v="1288000"/>
  </r>
  <r>
    <d v="2025-01-14T00:00:00"/>
    <x v="4"/>
    <s v="IKD-03"/>
    <n v="2"/>
    <n v="8.6999999999999993"/>
    <n v="86.2"/>
    <n v="5"/>
    <n v="1"/>
    <x v="0"/>
    <n v="4.3499999999999996"/>
    <s v="Mrs. Eze"/>
    <n v="535000"/>
  </r>
  <r>
    <d v="2025-02-19T00:00:00"/>
    <x v="1"/>
    <s v="MSH-03"/>
    <n v="5"/>
    <n v="41.5"/>
    <n v="188.3"/>
    <n v="0"/>
    <n v="2"/>
    <x v="5"/>
    <n v="8.3000000000000007"/>
    <s v="Mrs. Adisa"/>
    <n v="633000"/>
  </r>
  <r>
    <d v="2025-11-21T00:00:00"/>
    <x v="5"/>
    <s v="IKJ-03"/>
    <n v="5"/>
    <n v="40.200000000000003"/>
    <n v="111.7"/>
    <n v="3"/>
    <n v="11"/>
    <x v="4"/>
    <n v="8.0400000000000009"/>
    <s v="Mr. Adeyemi"/>
    <n v="313000"/>
  </r>
  <r>
    <d v="2025-07-29T00:00:00"/>
    <x v="5"/>
    <s v="IKJ-03"/>
    <n v="4"/>
    <n v="22.8"/>
    <n v="162.5"/>
    <n v="1"/>
    <n v="7"/>
    <x v="1"/>
    <n v="5.7"/>
    <s v="Mr. Adeyemi"/>
    <n v="313000"/>
  </r>
  <r>
    <d v="2025-10-22T00:00:00"/>
    <x v="5"/>
    <s v="IKJ-01"/>
    <n v="6"/>
    <n v="47.2"/>
    <n v="272.10000000000002"/>
    <n v="1"/>
    <n v="10"/>
    <x v="9"/>
    <n v="7.8666666666666671"/>
    <s v="Mr. Adeyemi"/>
    <n v="313000"/>
  </r>
  <r>
    <d v="2025-06-01T00:00:00"/>
    <x v="2"/>
    <s v="BDG-02"/>
    <n v="5"/>
    <n v="18.899999999999999"/>
    <n v="197.9"/>
    <n v="4"/>
    <n v="6"/>
    <x v="7"/>
    <n v="3.78"/>
    <s v="Mrs. Johnson"/>
    <n v="241000"/>
  </r>
  <r>
    <d v="2025-04-11T00:00:00"/>
    <x v="0"/>
    <s v="ALM-04"/>
    <n v="4"/>
    <n v="25.3"/>
    <n v="133.19999999999999"/>
    <n v="1"/>
    <n v="4"/>
    <x v="8"/>
    <n v="6.3250000000000002"/>
    <s v="Mr. Bello"/>
    <n v="1288000"/>
  </r>
  <r>
    <d v="2025-12-25T00:00:00"/>
    <x v="7"/>
    <s v="SRL-01"/>
    <n v="5"/>
    <n v="34.6"/>
    <n v="183.3"/>
    <n v="1"/>
    <n v="12"/>
    <x v="11"/>
    <n v="6.92"/>
    <s v="Mrs. Okafor"/>
    <n v="503000"/>
  </r>
  <r>
    <d v="2025-03-19T00:00:00"/>
    <x v="0"/>
    <s v="ALM-01"/>
    <n v="2"/>
    <n v="12"/>
    <n v="69.400000000000006"/>
    <n v="1"/>
    <n v="3"/>
    <x v="2"/>
    <n v="6"/>
    <s v="Mr. Bello"/>
    <n v="1288000"/>
  </r>
  <r>
    <d v="2025-03-22T00:00:00"/>
    <x v="5"/>
    <s v="IKJ-01"/>
    <n v="5"/>
    <n v="31.6"/>
    <n v="185.5"/>
    <n v="2"/>
    <n v="3"/>
    <x v="2"/>
    <n v="6.32"/>
    <s v="Mr. Adeyemi"/>
    <n v="313000"/>
  </r>
  <r>
    <d v="2025-05-29T00:00:00"/>
    <x v="0"/>
    <s v="ALM-04"/>
    <n v="6"/>
    <n v="46.6"/>
    <n v="240.2"/>
    <n v="2"/>
    <n v="5"/>
    <x v="3"/>
    <n v="7.7666666666666666"/>
    <s v="Mr. Bello"/>
    <n v="1288000"/>
  </r>
  <r>
    <d v="2025-02-10T00:00:00"/>
    <x v="1"/>
    <s v="MSH-03"/>
    <n v="2"/>
    <n v="13.2"/>
    <n v="83.8"/>
    <n v="4"/>
    <n v="2"/>
    <x v="5"/>
    <n v="6.6"/>
    <s v="Mrs. Adisa"/>
    <n v="633000"/>
  </r>
  <r>
    <d v="2025-08-05T00:00:00"/>
    <x v="5"/>
    <s v="IKJ-03"/>
    <n v="3"/>
    <n v="19.899999999999999"/>
    <n v="139"/>
    <n v="1"/>
    <n v="8"/>
    <x v="6"/>
    <n v="6.6333333333333329"/>
    <s v="Mr. Adeyemi"/>
    <n v="313000"/>
  </r>
  <r>
    <d v="2025-04-03T00:00:00"/>
    <x v="7"/>
    <s v="SRL-01"/>
    <n v="2"/>
    <n v="11.9"/>
    <n v="75.7"/>
    <n v="4"/>
    <n v="4"/>
    <x v="8"/>
    <n v="5.95"/>
    <s v="Mrs. Okafor"/>
    <n v="503000"/>
  </r>
  <r>
    <d v="2025-04-18T00:00:00"/>
    <x v="6"/>
    <s v="LKK-01"/>
    <n v="3"/>
    <n v="17.899999999999999"/>
    <n v="117.8"/>
    <m/>
    <n v="4"/>
    <x v="8"/>
    <n v="5.9666666666666659"/>
    <s v="Mr. Salami"/>
    <n v="200000"/>
  </r>
  <r>
    <d v="2025-05-13T00:00:00"/>
    <x v="6"/>
    <s v="LKK-01"/>
    <n v="6"/>
    <n v="27.8"/>
    <n v="198.1"/>
    <n v="2"/>
    <n v="5"/>
    <x v="3"/>
    <n v="4.6333333333333337"/>
    <s v="Mr. Salami"/>
    <n v="200000"/>
  </r>
  <r>
    <d v="2025-11-08T00:00:00"/>
    <x v="5"/>
    <s v="IKJ-02"/>
    <n v="2"/>
    <n v="15.4"/>
    <n v="77"/>
    <n v="1"/>
    <n v="11"/>
    <x v="4"/>
    <n v="7.7"/>
    <s v="Mr. Adeyemi"/>
    <n v="313000"/>
  </r>
  <r>
    <d v="2025-03-29T00:00:00"/>
    <x v="1"/>
    <s v="MSH-02"/>
    <n v="5"/>
    <n v="35.700000000000003"/>
    <n v="193"/>
    <n v="1"/>
    <n v="3"/>
    <x v="2"/>
    <n v="7.1400000000000006"/>
    <s v="Mrs. Adisa"/>
    <n v="633000"/>
  </r>
  <r>
    <d v="2025-02-11T00:00:00"/>
    <x v="7"/>
    <s v="SRL-02"/>
    <n v="6"/>
    <n v="37"/>
    <n v="257.3"/>
    <n v="3"/>
    <n v="2"/>
    <x v="5"/>
    <n v="6.166666666666667"/>
    <s v="Mrs. Okafor"/>
    <n v="503000"/>
  </r>
  <r>
    <d v="2025-12-15T00:00:00"/>
    <x v="2"/>
    <s v="BDG-02"/>
    <n v="6"/>
    <n v="28.5"/>
    <n v="254.7"/>
    <n v="3"/>
    <n v="12"/>
    <x v="11"/>
    <n v="4.75"/>
    <s v="Mrs. Johnson"/>
    <n v="241000"/>
  </r>
  <r>
    <d v="2025-12-06T00:00:00"/>
    <x v="1"/>
    <s v="MSH-01"/>
    <n v="3"/>
    <n v="23.2"/>
    <n v="107.6"/>
    <n v="2"/>
    <n v="12"/>
    <x v="11"/>
    <n v="7.7333333333333334"/>
    <s v="Mrs. Adisa"/>
    <n v="633000"/>
  </r>
  <r>
    <d v="2025-07-15T00:00:00"/>
    <x v="4"/>
    <s v="IKD-03"/>
    <n v="6"/>
    <n v="25.1"/>
    <n v="252.8"/>
    <m/>
    <n v="7"/>
    <x v="1"/>
    <n v="4.1833333333333336"/>
    <s v="Mrs. Eze"/>
    <n v="535000"/>
  </r>
  <r>
    <d v="2025-07-28T00:00:00"/>
    <x v="7"/>
    <s v="SRL-01"/>
    <n v="6"/>
    <n v="32.6"/>
    <n v="214.7"/>
    <m/>
    <n v="7"/>
    <x v="1"/>
    <n v="5.4333333333333336"/>
    <s v="Mrs. Okafor"/>
    <n v="503000"/>
  </r>
  <r>
    <d v="2025-09-26T00:00:00"/>
    <x v="3"/>
    <s v="EPE-02"/>
    <n v="4"/>
    <n v="15.4"/>
    <n v="150.9"/>
    <n v="4"/>
    <n v="9"/>
    <x v="10"/>
    <n v="3.85"/>
    <s v="Mr. Ogunleye"/>
    <n v="181000"/>
  </r>
  <r>
    <d v="2025-03-22T00:00:00"/>
    <x v="4"/>
    <s v="IKD-01"/>
    <n v="5"/>
    <n v="20.5"/>
    <n v="207.3"/>
    <n v="1"/>
    <n v="3"/>
    <x v="2"/>
    <n v="4.0999999999999996"/>
    <s v="Mrs. Eze"/>
    <n v="535000"/>
  </r>
  <r>
    <d v="2025-12-16T00:00:00"/>
    <x v="0"/>
    <s v="ALM-03"/>
    <n v="4"/>
    <n v="38.1"/>
    <n v="105.5"/>
    <n v="1"/>
    <n v="12"/>
    <x v="11"/>
    <n v="9.5250000000000004"/>
    <s v="Mr. Bello"/>
    <n v="1288000"/>
  </r>
  <r>
    <d v="2025-08-29T00:00:00"/>
    <x v="6"/>
    <s v="LKK-02"/>
    <n v="4"/>
    <n v="23.9"/>
    <n v="159.19999999999999"/>
    <n v="0"/>
    <n v="8"/>
    <x v="6"/>
    <n v="5.9749999999999996"/>
    <s v="Mr. Salami"/>
    <n v="200000"/>
  </r>
  <r>
    <d v="2025-05-01T00:00:00"/>
    <x v="7"/>
    <s v="SRL-02"/>
    <n v="5"/>
    <n v="32.4"/>
    <n v="241.6"/>
    <n v="0"/>
    <n v="5"/>
    <x v="3"/>
    <n v="6.4799999999999995"/>
    <s v="Mrs. Okafor"/>
    <n v="503000"/>
  </r>
  <r>
    <d v="2025-06-23T00:00:00"/>
    <x v="3"/>
    <s v="EPE-02"/>
    <n v="5"/>
    <n v="13.1"/>
    <n v="183.3"/>
    <n v="2"/>
    <n v="6"/>
    <x v="7"/>
    <n v="2.62"/>
    <s v="Mr. Ogunleye"/>
    <n v="181000"/>
  </r>
  <r>
    <d v="2025-10-27T00:00:00"/>
    <x v="3"/>
    <s v="EPE-02"/>
    <n v="2"/>
    <n v="7.4"/>
    <n v="56.5"/>
    <n v="5"/>
    <n v="10"/>
    <x v="9"/>
    <n v="3.7"/>
    <s v="Mr. Ogunleye"/>
    <n v="181000"/>
  </r>
  <r>
    <d v="2025-06-08T00:00:00"/>
    <x v="2"/>
    <s v="BDG-02"/>
    <n v="5"/>
    <n v="17.2"/>
    <n v="156.30000000000001"/>
    <n v="4"/>
    <n v="6"/>
    <x v="7"/>
    <n v="3.44"/>
    <s v="Mrs. Johnson"/>
    <n v="241000"/>
  </r>
  <r>
    <d v="2025-12-29T00:00:00"/>
    <x v="6"/>
    <s v="LKK-02"/>
    <n v="6"/>
    <n v="46.3"/>
    <n v="245.3"/>
    <n v="0"/>
    <n v="12"/>
    <x v="11"/>
    <n v="7.7166666666666659"/>
    <s v="Mr. Salami"/>
    <n v="200000"/>
  </r>
  <r>
    <d v="2025-02-08T00:00:00"/>
    <x v="1"/>
    <s v="MSH-03"/>
    <n v="5"/>
    <n v="34.5"/>
    <n v="222.5"/>
    <n v="2"/>
    <n v="2"/>
    <x v="5"/>
    <n v="6.9"/>
    <s v="Mrs. Adisa"/>
    <n v="633000"/>
  </r>
  <r>
    <d v="2025-10-25T00:00:00"/>
    <x v="6"/>
    <s v="LKK-02"/>
    <n v="3"/>
    <n v="17.100000000000001"/>
    <n v="115.7"/>
    <n v="2"/>
    <n v="10"/>
    <x v="9"/>
    <n v="5.7"/>
    <s v="Mr. Salami"/>
    <n v="200000"/>
  </r>
  <r>
    <d v="2025-01-01T00:00:00"/>
    <x v="0"/>
    <s v="ALM-03"/>
    <n v="5"/>
    <n v="38.6"/>
    <n v="176.4"/>
    <n v="1"/>
    <n v="1"/>
    <x v="0"/>
    <n v="7.7200000000000006"/>
    <s v="Mr. Bello"/>
    <n v="1288000"/>
  </r>
  <r>
    <d v="2025-10-10T00:00:00"/>
    <x v="2"/>
    <s v="BDG-02"/>
    <n v="3"/>
    <n v="13.9"/>
    <n v="117.5"/>
    <n v="2"/>
    <n v="10"/>
    <x v="9"/>
    <n v="4.6333333333333337"/>
    <s v="Mrs. Johnson"/>
    <n v="241000"/>
  </r>
  <r>
    <d v="2025-09-18T00:00:00"/>
    <x v="3"/>
    <s v="EPE-02"/>
    <n v="4"/>
    <n v="15.8"/>
    <n v="184.9"/>
    <n v="2"/>
    <n v="9"/>
    <x v="10"/>
    <n v="3.95"/>
    <s v="Mr. Ogunleye"/>
    <n v="181000"/>
  </r>
  <r>
    <d v="2025-11-08T00:00:00"/>
    <x v="3"/>
    <s v="EPE-01"/>
    <n v="6"/>
    <n v="18.600000000000001"/>
    <n v="218.7"/>
    <n v="2"/>
    <n v="11"/>
    <x v="4"/>
    <n v="3.1"/>
    <s v="Mr. Ogunleye"/>
    <n v="181000"/>
  </r>
  <r>
    <d v="2025-11-02T00:00:00"/>
    <x v="2"/>
    <s v="BDG-02"/>
    <n v="3"/>
    <n v="14.9"/>
    <n v="109.3"/>
    <n v="1"/>
    <n v="11"/>
    <x v="4"/>
    <n v="4.9666666666666668"/>
    <s v="Mrs. Johnson"/>
    <n v="241000"/>
  </r>
  <r>
    <d v="2025-05-24T00:00:00"/>
    <x v="3"/>
    <s v="EPE-01"/>
    <n v="4"/>
    <n v="14.3"/>
    <n v="153.1"/>
    <n v="3"/>
    <n v="5"/>
    <x v="3"/>
    <n v="3.5750000000000002"/>
    <s v="Mr. Ogunleye"/>
    <n v="181000"/>
  </r>
  <r>
    <d v="2025-06-14T00:00:00"/>
    <x v="3"/>
    <s v="EPE-01"/>
    <n v="4"/>
    <n v="15.8"/>
    <n v="163.5"/>
    <n v="3"/>
    <n v="6"/>
    <x v="7"/>
    <n v="3.95"/>
    <s v="Mr. Ogunleye"/>
    <n v="181000"/>
  </r>
  <r>
    <d v="2025-03-15T00:00:00"/>
    <x v="7"/>
    <s v="SRL-03"/>
    <n v="3"/>
    <n v="20.2"/>
    <n v="125.7"/>
    <n v="1"/>
    <n v="3"/>
    <x v="2"/>
    <n v="6.7333333333333334"/>
    <s v="Mrs. Okafor"/>
    <n v="503000"/>
  </r>
  <r>
    <d v="2025-11-26T00:00:00"/>
    <x v="3"/>
    <s v="EPE-02"/>
    <n v="5"/>
    <n v="18"/>
    <n v="181.8"/>
    <n v="2"/>
    <n v="11"/>
    <x v="4"/>
    <n v="3.6"/>
    <s v="Mr. Ogunleye"/>
    <n v="181000"/>
  </r>
  <r>
    <d v="2025-06-27T00:00:00"/>
    <x v="1"/>
    <s v="MSH-03"/>
    <n v="3"/>
    <n v="18.600000000000001"/>
    <n v="113"/>
    <n v="2"/>
    <n v="6"/>
    <x v="7"/>
    <n v="6.2"/>
    <s v="Mrs. Adisa"/>
    <n v="633000"/>
  </r>
  <r>
    <d v="2025-12-23T00:00:00"/>
    <x v="7"/>
    <s v="SRL-02"/>
    <n v="2"/>
    <n v="15.4"/>
    <n v="69.900000000000006"/>
    <n v="0"/>
    <n v="12"/>
    <x v="11"/>
    <n v="7.7"/>
    <s v="Mrs. Okafor"/>
    <n v="503000"/>
  </r>
  <r>
    <d v="2025-07-06T00:00:00"/>
    <x v="4"/>
    <s v="IKD-03"/>
    <n v="2"/>
    <n v="7.9"/>
    <n v="76.099999999999994"/>
    <n v="4"/>
    <n v="7"/>
    <x v="1"/>
    <n v="3.95"/>
    <s v="Mrs. Eze"/>
    <n v="535000"/>
  </r>
  <r>
    <d v="2025-10-10T00:00:00"/>
    <x v="4"/>
    <s v="IKD-02"/>
    <n v="5"/>
    <n v="25.8"/>
    <n v="221.6"/>
    <n v="5"/>
    <n v="10"/>
    <x v="9"/>
    <n v="5.16"/>
    <s v="Mrs. Eze"/>
    <n v="535000"/>
  </r>
  <r>
    <d v="2025-03-17T00:00:00"/>
    <x v="7"/>
    <s v="SRL-02"/>
    <n v="6"/>
    <n v="38.4"/>
    <n v="206.9"/>
    <n v="1"/>
    <n v="3"/>
    <x v="2"/>
    <n v="6.3999999999999995"/>
    <s v="Mrs. Okafor"/>
    <n v="503000"/>
  </r>
  <r>
    <d v="2025-06-21T00:00:00"/>
    <x v="5"/>
    <s v="IKJ-01"/>
    <n v="5"/>
    <n v="31.4"/>
    <n v="169"/>
    <n v="0"/>
    <n v="6"/>
    <x v="7"/>
    <n v="6.2799999999999994"/>
    <s v="Mr. Adeyemi"/>
    <n v="313000"/>
  </r>
  <r>
    <d v="2025-04-20T00:00:00"/>
    <x v="1"/>
    <s v="MSH-02"/>
    <n v="2"/>
    <n v="15.9"/>
    <n v="71.400000000000006"/>
    <n v="1"/>
    <n v="4"/>
    <x v="8"/>
    <n v="7.95"/>
    <s v="Mrs. Adisa"/>
    <n v="633000"/>
  </r>
  <r>
    <d v="2025-10-19T00:00:00"/>
    <x v="0"/>
    <s v="ALM-04"/>
    <n v="3"/>
    <n v="24.6"/>
    <n v="112.9"/>
    <n v="1"/>
    <n v="10"/>
    <x v="9"/>
    <n v="8.2000000000000011"/>
    <s v="Mr. Bello"/>
    <n v="1288000"/>
  </r>
  <r>
    <d v="2025-07-11T00:00:00"/>
    <x v="3"/>
    <s v="EPE-01"/>
    <n v="4"/>
    <n v="12.8"/>
    <n v="170"/>
    <n v="4"/>
    <n v="7"/>
    <x v="1"/>
    <n v="3.2"/>
    <s v="Mr. Ogunleye"/>
    <n v="181000"/>
  </r>
  <r>
    <d v="2025-08-19T00:00:00"/>
    <x v="4"/>
    <s v="IKD-02"/>
    <n v="6"/>
    <n v="21.4"/>
    <n v="211.9"/>
    <n v="7"/>
    <n v="8"/>
    <x v="6"/>
    <n v="3.5666666666666664"/>
    <s v="Mrs. Eze"/>
    <n v="535000"/>
  </r>
  <r>
    <d v="2025-11-19T00:00:00"/>
    <x v="7"/>
    <s v="SRL-02"/>
    <n v="3"/>
    <n v="19"/>
    <n v="102.5"/>
    <n v="0"/>
    <n v="11"/>
    <x v="4"/>
    <n v="6.333333333333333"/>
    <s v="Mrs. Okafor"/>
    <n v="503000"/>
  </r>
  <r>
    <d v="2025-02-25T00:00:00"/>
    <x v="7"/>
    <s v="SRL-01"/>
    <n v="6"/>
    <n v="35.1"/>
    <n v="269.5"/>
    <n v="1"/>
    <n v="2"/>
    <x v="5"/>
    <n v="5.8500000000000005"/>
    <s v="Mrs. Okafor"/>
    <n v="503000"/>
  </r>
  <r>
    <d v="2025-10-30T00:00:00"/>
    <x v="1"/>
    <s v="MSH-03"/>
    <n v="4"/>
    <n v="23.4"/>
    <n v="149.4"/>
    <n v="1"/>
    <n v="10"/>
    <x v="9"/>
    <n v="5.85"/>
    <s v="Mrs. Adisa"/>
    <n v="633000"/>
  </r>
  <r>
    <d v="2025-02-17T00:00:00"/>
    <x v="0"/>
    <s v="ALM-03"/>
    <n v="3"/>
    <n v="22.6"/>
    <n v="141.6"/>
    <n v="1"/>
    <n v="2"/>
    <x v="5"/>
    <n v="7.5333333333333341"/>
    <s v="Mr. Bello"/>
    <n v="1288000"/>
  </r>
  <r>
    <d v="2025-02-08T00:00:00"/>
    <x v="1"/>
    <s v="MSH-03"/>
    <n v="2"/>
    <n v="15.4"/>
    <n v="83.5"/>
    <n v="2"/>
    <n v="2"/>
    <x v="5"/>
    <n v="7.7"/>
    <s v="Mrs. Adisa"/>
    <n v="633000"/>
  </r>
  <r>
    <d v="2025-12-14T00:00:00"/>
    <x v="7"/>
    <s v="SRL-02"/>
    <n v="4"/>
    <n v="31.9"/>
    <n v="148"/>
    <n v="0"/>
    <n v="12"/>
    <x v="11"/>
    <n v="7.9749999999999996"/>
    <s v="Mrs. Okafor"/>
    <n v="503000"/>
  </r>
  <r>
    <d v="2025-01-09T00:00:00"/>
    <x v="1"/>
    <s v="MSH-02"/>
    <n v="6"/>
    <n v="50.1"/>
    <n v="184.8"/>
    <n v="0"/>
    <n v="1"/>
    <x v="0"/>
    <n v="8.35"/>
    <s v="Mrs. Adisa"/>
    <n v="633000"/>
  </r>
  <r>
    <d v="2025-06-19T00:00:00"/>
    <x v="6"/>
    <s v="LKK-01"/>
    <n v="5"/>
    <n v="32.1"/>
    <n v="203.4"/>
    <n v="1"/>
    <n v="6"/>
    <x v="7"/>
    <n v="6.42"/>
    <s v="Mr. Salami"/>
    <n v="200000"/>
  </r>
  <r>
    <d v="2025-03-28T00:00:00"/>
    <x v="4"/>
    <s v="IKD-02"/>
    <n v="6"/>
    <n v="22"/>
    <n v="251.7"/>
    <n v="1"/>
    <n v="3"/>
    <x v="2"/>
    <n v="3.6666666666666665"/>
    <s v="Mrs. Eze"/>
    <n v="535000"/>
  </r>
  <r>
    <d v="2025-04-03T00:00:00"/>
    <x v="5"/>
    <s v="IKJ-01"/>
    <n v="3"/>
    <n v="17.899999999999999"/>
    <n v="122"/>
    <n v="0"/>
    <n v="4"/>
    <x v="8"/>
    <n v="5.9666666666666659"/>
    <s v="Mr. Adeyemi"/>
    <n v="313000"/>
  </r>
  <r>
    <d v="2025-01-04T00:00:00"/>
    <x v="4"/>
    <s v="IKD-01"/>
    <n v="6"/>
    <n v="21.9"/>
    <n v="226.5"/>
    <n v="2"/>
    <n v="1"/>
    <x v="0"/>
    <n v="3.65"/>
    <s v="Mrs. Eze"/>
    <n v="535000"/>
  </r>
  <r>
    <d v="2025-10-25T00:00:00"/>
    <x v="7"/>
    <s v="SRL-01"/>
    <n v="6"/>
    <n v="39.6"/>
    <n v="237.2"/>
    <n v="1"/>
    <n v="10"/>
    <x v="9"/>
    <n v="6.6000000000000005"/>
    <s v="Mrs. Okafor"/>
    <n v="503000"/>
  </r>
  <r>
    <d v="2025-12-01T00:00:00"/>
    <x v="3"/>
    <s v="EPE-02"/>
    <n v="4"/>
    <n v="19.399999999999999"/>
    <n v="167.6"/>
    <n v="3"/>
    <n v="12"/>
    <x v="11"/>
    <n v="4.8499999999999996"/>
    <s v="Mr. Ogunleye"/>
    <n v="181000"/>
  </r>
  <r>
    <d v="2025-08-31T00:00:00"/>
    <x v="4"/>
    <s v="IKD-03"/>
    <n v="3"/>
    <n v="12.5"/>
    <n v="108.8"/>
    <n v="1"/>
    <n v="8"/>
    <x v="6"/>
    <n v="4.166666666666667"/>
    <s v="Mrs. Eze"/>
    <n v="535000"/>
  </r>
  <r>
    <d v="2025-07-29T00:00:00"/>
    <x v="7"/>
    <s v="SRL-02"/>
    <n v="4"/>
    <n v="26.7"/>
    <n v="152.30000000000001"/>
    <n v="1"/>
    <n v="7"/>
    <x v="1"/>
    <n v="6.6749999999999998"/>
    <s v="Mrs. Okafor"/>
    <n v="503000"/>
  </r>
  <r>
    <d v="2025-12-06T00:00:00"/>
    <x v="5"/>
    <s v="IKJ-01"/>
    <n v="4"/>
    <n v="40.1"/>
    <n v="157.1"/>
    <n v="0"/>
    <n v="12"/>
    <x v="11"/>
    <n v="10.025"/>
    <s v="Mr. Adeyemi"/>
    <n v="313000"/>
  </r>
  <r>
    <d v="2025-03-15T00:00:00"/>
    <x v="6"/>
    <s v="LKK-01"/>
    <n v="6"/>
    <n v="31.7"/>
    <n v="180.5"/>
    <n v="2"/>
    <n v="3"/>
    <x v="2"/>
    <n v="5.2833333333333332"/>
    <s v="Mr. Salami"/>
    <n v="200000"/>
  </r>
  <r>
    <d v="2025-07-01T00:00:00"/>
    <x v="3"/>
    <s v="EPE-02"/>
    <n v="6"/>
    <n v="22"/>
    <n v="218.4"/>
    <n v="2"/>
    <n v="7"/>
    <x v="1"/>
    <n v="3.6666666666666665"/>
    <s v="Mr. Ogunleye"/>
    <n v="181000"/>
  </r>
  <r>
    <d v="2025-11-07T00:00:00"/>
    <x v="5"/>
    <s v="IKJ-03"/>
    <n v="3"/>
    <n v="18"/>
    <n v="110.5"/>
    <n v="1"/>
    <n v="11"/>
    <x v="4"/>
    <n v="6"/>
    <s v="Mr. Adeyemi"/>
    <n v="313000"/>
  </r>
  <r>
    <d v="2025-01-12T00:00:00"/>
    <x v="4"/>
    <s v="IKD-01"/>
    <n v="2"/>
    <n v="10.199999999999999"/>
    <n v="58.7"/>
    <n v="5"/>
    <n v="1"/>
    <x v="0"/>
    <n v="5.0999999999999996"/>
    <s v="Mrs. Eze"/>
    <n v="535000"/>
  </r>
  <r>
    <d v="2025-08-06T00:00:00"/>
    <x v="5"/>
    <s v="IKJ-01"/>
    <n v="2"/>
    <n v="14.2"/>
    <n v="76.400000000000006"/>
    <n v="2"/>
    <n v="8"/>
    <x v="6"/>
    <n v="7.1"/>
    <s v="Mr. Adeyemi"/>
    <n v="313000"/>
  </r>
  <r>
    <d v="2025-11-27T00:00:00"/>
    <x v="4"/>
    <s v="IKD-01"/>
    <n v="3"/>
    <n v="14.3"/>
    <n v="111.2"/>
    <n v="4"/>
    <n v="11"/>
    <x v="4"/>
    <n v="4.7666666666666666"/>
    <s v="Mrs. Eze"/>
    <n v="535000"/>
  </r>
  <r>
    <d v="2025-11-05T00:00:00"/>
    <x v="6"/>
    <s v="LKK-02"/>
    <n v="3"/>
    <n v="17.3"/>
    <n v="93"/>
    <n v="1"/>
    <n v="11"/>
    <x v="4"/>
    <n v="5.7666666666666666"/>
    <s v="Mr. Salami"/>
    <n v="200000"/>
  </r>
  <r>
    <d v="2025-11-18T00:00:00"/>
    <x v="7"/>
    <s v="SRL-01"/>
    <n v="3"/>
    <n v="17.399999999999999"/>
    <n v="114.2"/>
    <n v="0"/>
    <n v="11"/>
    <x v="4"/>
    <n v="5.8"/>
    <s v="Mrs. Okafor"/>
    <n v="503000"/>
  </r>
  <r>
    <d v="2025-03-02T00:00:00"/>
    <x v="5"/>
    <s v="IKJ-02"/>
    <n v="2"/>
    <n v="14.8"/>
    <n v="83.7"/>
    <n v="1"/>
    <n v="3"/>
    <x v="2"/>
    <n v="7.4"/>
    <s v="Mr. Adeyemi"/>
    <n v="313000"/>
  </r>
  <r>
    <d v="2025-11-03T00:00:00"/>
    <x v="4"/>
    <s v="IKD-03"/>
    <n v="3"/>
    <n v="14.2"/>
    <n v="131.30000000000001"/>
    <n v="1"/>
    <n v="11"/>
    <x v="4"/>
    <n v="4.7333333333333334"/>
    <s v="Mrs. Eze"/>
    <n v="535000"/>
  </r>
  <r>
    <d v="2025-12-23T00:00:00"/>
    <x v="7"/>
    <s v="SRL-03"/>
    <n v="3"/>
    <n v="25.5"/>
    <n v="112.7"/>
    <n v="1"/>
    <n v="12"/>
    <x v="11"/>
    <n v="8.5"/>
    <s v="Mrs. Okafor"/>
    <n v="503000"/>
  </r>
  <r>
    <d v="2025-07-09T00:00:00"/>
    <x v="2"/>
    <s v="BDG-01"/>
    <n v="5"/>
    <n v="18.7"/>
    <n v="173.3"/>
    <n v="3"/>
    <n v="7"/>
    <x v="1"/>
    <n v="3.7399999999999998"/>
    <s v="Mrs. Johnson"/>
    <n v="241000"/>
  </r>
  <r>
    <d v="2025-08-23T00:00:00"/>
    <x v="4"/>
    <s v="IKD-02"/>
    <n v="3"/>
    <n v="12.1"/>
    <n v="85.2"/>
    <n v="5"/>
    <n v="8"/>
    <x v="6"/>
    <n v="4.0333333333333332"/>
    <s v="Mrs. Eze"/>
    <n v="535000"/>
  </r>
  <r>
    <d v="2025-08-07T00:00:00"/>
    <x v="4"/>
    <s v="IKD-02"/>
    <n v="4"/>
    <n v="17.100000000000001"/>
    <n v="169.7"/>
    <n v="4"/>
    <n v="8"/>
    <x v="6"/>
    <n v="4.2750000000000004"/>
    <s v="Mrs. Eze"/>
    <n v="535000"/>
  </r>
  <r>
    <d v="2025-07-06T00:00:00"/>
    <x v="3"/>
    <s v="EPE-02"/>
    <n v="3"/>
    <n v="11.5"/>
    <n v="134.69999999999999"/>
    <n v="2"/>
    <n v="7"/>
    <x v="1"/>
    <n v="3.8333333333333335"/>
    <s v="Mr. Ogunleye"/>
    <n v="181000"/>
  </r>
  <r>
    <d v="2025-04-02T00:00:00"/>
    <x v="0"/>
    <s v="ALM-02"/>
    <n v="3"/>
    <n v="19.5"/>
    <n v="118.3"/>
    <n v="1"/>
    <n v="4"/>
    <x v="8"/>
    <n v="6.5"/>
    <s v="Mr. Bello"/>
    <n v="1288000"/>
  </r>
  <r>
    <d v="2025-10-27T00:00:00"/>
    <x v="6"/>
    <s v="LKK-02"/>
    <n v="5"/>
    <n v="28.4"/>
    <n v="178.9"/>
    <n v="1"/>
    <n v="10"/>
    <x v="9"/>
    <n v="5.68"/>
    <s v="Mr. Salami"/>
    <n v="200000"/>
  </r>
  <r>
    <d v="2025-08-01T00:00:00"/>
    <x v="5"/>
    <s v="IKJ-01"/>
    <n v="5"/>
    <n v="36.6"/>
    <n v="226.7"/>
    <n v="1"/>
    <n v="8"/>
    <x v="6"/>
    <n v="7.32"/>
    <s v="Mr. Adeyemi"/>
    <n v="313000"/>
  </r>
  <r>
    <d v="2025-01-17T00:00:00"/>
    <x v="6"/>
    <s v="LKK-02"/>
    <n v="2"/>
    <n v="11.4"/>
    <n v="65.900000000000006"/>
    <n v="0"/>
    <n v="1"/>
    <x v="0"/>
    <n v="5.7"/>
    <s v="Mr. Salami"/>
    <n v="200000"/>
  </r>
  <r>
    <d v="2025-10-15T00:00:00"/>
    <x v="3"/>
    <s v=""/>
    <n v="5"/>
    <n v="21.4"/>
    <n v="167.9"/>
    <n v="4"/>
    <n v="10"/>
    <x v="9"/>
    <n v="4.2799999999999994"/>
    <s v="Mr. Ogunleye"/>
    <n v="181000"/>
  </r>
  <r>
    <d v="2025-01-23T00:00:00"/>
    <x v="2"/>
    <s v="BDG-01"/>
    <n v="3"/>
    <n v="11.7"/>
    <n v="109.8"/>
    <n v="3"/>
    <n v="1"/>
    <x v="0"/>
    <n v="3.9"/>
    <s v="Mrs. Johnson"/>
    <n v="241000"/>
  </r>
  <r>
    <d v="2025-01-12T00:00:00"/>
    <x v="1"/>
    <s v="MSH-03"/>
    <n v="2"/>
    <n v="12.3"/>
    <n v="83.2"/>
    <n v="1"/>
    <n v="1"/>
    <x v="0"/>
    <n v="6.15"/>
    <s v="Mrs. Adisa"/>
    <n v="633000"/>
  </r>
  <r>
    <d v="2025-11-14T00:00:00"/>
    <x v="6"/>
    <s v="LKK-02"/>
    <n v="5"/>
    <n v="32.4"/>
    <n v="213.1"/>
    <n v="3"/>
    <n v="11"/>
    <x v="4"/>
    <n v="6.4799999999999995"/>
    <s v="Mr. Salami"/>
    <n v="200000"/>
  </r>
  <r>
    <d v="2025-03-18T00:00:00"/>
    <x v="3"/>
    <s v="EPE-02"/>
    <n v="3"/>
    <n v="12.2"/>
    <n v="119.8"/>
    <n v="3"/>
    <n v="3"/>
    <x v="2"/>
    <n v="4.0666666666666664"/>
    <s v="Mr. Ogunleye"/>
    <n v="181000"/>
  </r>
  <r>
    <d v="2025-12-12T00:00:00"/>
    <x v="2"/>
    <s v="BDG-01"/>
    <n v="2"/>
    <n v="8.6999999999999993"/>
    <n v="69.3"/>
    <n v="2"/>
    <n v="12"/>
    <x v="11"/>
    <n v="4.3499999999999996"/>
    <s v="Mrs. Johnson"/>
    <n v="241000"/>
  </r>
  <r>
    <d v="2025-01-24T00:00:00"/>
    <x v="0"/>
    <s v=""/>
    <n v="3"/>
    <n v="21.1"/>
    <n v="99.1"/>
    <n v="2"/>
    <n v="1"/>
    <x v="0"/>
    <n v="7.0333333333333341"/>
    <s v="Mr. Bello"/>
    <n v="1288000"/>
  </r>
  <r>
    <d v="2025-05-14T00:00:00"/>
    <x v="3"/>
    <s v="EPE-01"/>
    <n v="2"/>
    <n v="5.4"/>
    <n v="90.7"/>
    <n v="2"/>
    <n v="5"/>
    <x v="3"/>
    <n v="2.7"/>
    <s v="Mr. Ogunleye"/>
    <n v="181000"/>
  </r>
  <r>
    <d v="2025-06-27T00:00:00"/>
    <x v="0"/>
    <s v="ALM-02"/>
    <n v="5"/>
    <n v="37"/>
    <n v="165.3"/>
    <n v="1"/>
    <n v="6"/>
    <x v="7"/>
    <n v="7.4"/>
    <s v="Mr. Bello"/>
    <n v="1288000"/>
  </r>
  <r>
    <d v="2025-07-04T00:00:00"/>
    <x v="2"/>
    <s v="BDG-02"/>
    <n v="5"/>
    <n v="15.6"/>
    <n v="204.1"/>
    <n v="4"/>
    <n v="7"/>
    <x v="1"/>
    <n v="3.12"/>
    <s v="Mrs. Johnson"/>
    <n v="241000"/>
  </r>
  <r>
    <d v="2025-03-07T00:00:00"/>
    <x v="6"/>
    <s v="LKK-02"/>
    <n v="4"/>
    <n v="22.8"/>
    <n v="146.80000000000001"/>
    <n v="2"/>
    <n v="3"/>
    <x v="2"/>
    <n v="5.7"/>
    <s v="Mr. Salami"/>
    <n v="200000"/>
  </r>
  <r>
    <d v="2025-07-06T00:00:00"/>
    <x v="6"/>
    <s v="LKK-01"/>
    <n v="3"/>
    <n v="17.100000000000001"/>
    <n v="101.3"/>
    <n v="2"/>
    <n v="7"/>
    <x v="1"/>
    <n v="5.7"/>
    <s v="Mr. Salami"/>
    <n v="200000"/>
  </r>
  <r>
    <d v="2025-01-13T00:00:00"/>
    <x v="5"/>
    <s v="IKJ-01"/>
    <n v="3"/>
    <n v="15.1"/>
    <n v="141.9"/>
    <n v="0"/>
    <n v="1"/>
    <x v="0"/>
    <n v="5.0333333333333332"/>
    <s v="Mr. Adeyemi"/>
    <n v="313000"/>
  </r>
  <r>
    <d v="2025-03-13T00:00:00"/>
    <x v="2"/>
    <s v="BDG-01"/>
    <n v="4"/>
    <n v="17.2"/>
    <n v="148.80000000000001"/>
    <n v="2"/>
    <n v="3"/>
    <x v="2"/>
    <n v="4.3"/>
    <s v="Mrs. Johnson"/>
    <n v="241000"/>
  </r>
  <r>
    <d v="2025-12-14T00:00:00"/>
    <x v="3"/>
    <s v="EPE-01"/>
    <n v="2"/>
    <n v="10"/>
    <n v="64.5"/>
    <n v="1"/>
    <n v="12"/>
    <x v="11"/>
    <n v="5"/>
    <s v="Mr. Ogunleye"/>
    <n v="181000"/>
  </r>
  <r>
    <d v="2025-09-22T00:00:00"/>
    <x v="6"/>
    <s v="LKK-01"/>
    <n v="4"/>
    <n v="17.5"/>
    <n v="150.69999999999999"/>
    <n v="4"/>
    <n v="9"/>
    <x v="10"/>
    <n v="4.375"/>
    <s v="Mr. Salami"/>
    <n v="200000"/>
  </r>
  <r>
    <d v="2025-06-18T00:00:00"/>
    <x v="0"/>
    <s v="ALM-02"/>
    <n v="2"/>
    <n v="15.1"/>
    <n v="81.2"/>
    <n v="1"/>
    <n v="6"/>
    <x v="7"/>
    <n v="7.55"/>
    <s v="Mr. Bello"/>
    <n v="1288000"/>
  </r>
  <r>
    <d v="2025-01-07T00:00:00"/>
    <x v="0"/>
    <s v="ALM-01"/>
    <n v="6"/>
    <n v="42.8"/>
    <n v="247.2"/>
    <n v="0"/>
    <n v="1"/>
    <x v="0"/>
    <n v="7.1333333333333329"/>
    <s v="Mr. Bello"/>
    <n v="1288000"/>
  </r>
  <r>
    <d v="2025-02-24T00:00:00"/>
    <x v="1"/>
    <s v="MSH-02"/>
    <n v="5"/>
    <n v="28.3"/>
    <n v="171.2"/>
    <n v="1"/>
    <n v="2"/>
    <x v="5"/>
    <n v="5.66"/>
    <s v="Mrs. Adisa"/>
    <n v="633000"/>
  </r>
  <r>
    <d v="2025-06-13T00:00:00"/>
    <x v="6"/>
    <s v="LKK-01"/>
    <n v="6"/>
    <n v="37.299999999999997"/>
    <n v="231.9"/>
    <n v="1"/>
    <n v="6"/>
    <x v="7"/>
    <n v="6.2166666666666659"/>
    <s v="Mr. Salami"/>
    <n v="200000"/>
  </r>
  <r>
    <d v="2025-07-09T00:00:00"/>
    <x v="7"/>
    <s v="SRL-01"/>
    <n v="3"/>
    <n v="16"/>
    <n v="113.2"/>
    <n v="1"/>
    <n v="7"/>
    <x v="1"/>
    <n v="5.333333333333333"/>
    <s v="Mrs. Okafor"/>
    <n v="503000"/>
  </r>
  <r>
    <d v="2025-03-25T00:00:00"/>
    <x v="3"/>
    <s v="EPE-02"/>
    <n v="5"/>
    <n v="16.7"/>
    <n v="179.8"/>
    <n v="2"/>
    <n v="3"/>
    <x v="2"/>
    <n v="3.34"/>
    <s v="Mr. Ogunleye"/>
    <n v="181000"/>
  </r>
  <r>
    <d v="2025-02-25T00:00:00"/>
    <x v="5"/>
    <s v="IKJ-03"/>
    <n v="3"/>
    <n v="21.3"/>
    <n v="99.7"/>
    <m/>
    <n v="2"/>
    <x v="5"/>
    <n v="7.1000000000000005"/>
    <s v="Mr. Adeyemi"/>
    <n v="313000"/>
  </r>
  <r>
    <d v="2025-08-13T00:00:00"/>
    <x v="5"/>
    <s v="IKJ-01"/>
    <n v="2"/>
    <n v="12.4"/>
    <n v="57.7"/>
    <n v="0"/>
    <n v="8"/>
    <x v="6"/>
    <n v="6.2"/>
    <s v="Mr. Adeyemi"/>
    <n v="313000"/>
  </r>
  <r>
    <d v="2025-11-21T00:00:00"/>
    <x v="6"/>
    <s v="LKK-02"/>
    <n v="5"/>
    <n v="34.700000000000003"/>
    <n v="168.7"/>
    <n v="0"/>
    <n v="11"/>
    <x v="4"/>
    <n v="6.94"/>
    <s v="Mr. Salami"/>
    <n v="200000"/>
  </r>
  <r>
    <d v="2025-10-08T00:00:00"/>
    <x v="6"/>
    <s v="LKK-02"/>
    <n v="2"/>
    <n v="11.9"/>
    <n v="78.3"/>
    <n v="1"/>
    <n v="10"/>
    <x v="9"/>
    <n v="5.95"/>
    <s v="Mr. Salami"/>
    <n v="200000"/>
  </r>
  <r>
    <d v="2025-04-24T00:00:00"/>
    <x v="6"/>
    <s v="LKK-02"/>
    <n v="6"/>
    <n v="28.4"/>
    <n v="254"/>
    <n v="0"/>
    <n v="4"/>
    <x v="8"/>
    <n v="4.7333333333333334"/>
    <s v="Mr. Salami"/>
    <n v="200000"/>
  </r>
  <r>
    <d v="2025-06-10T00:00:00"/>
    <x v="0"/>
    <s v="ALM-03"/>
    <n v="4"/>
    <n v="24.6"/>
    <n v="156"/>
    <n v="2"/>
    <n v="6"/>
    <x v="7"/>
    <n v="6.15"/>
    <s v="Mr. Bello"/>
    <n v="1288000"/>
  </r>
  <r>
    <d v="2025-06-15T00:00:00"/>
    <x v="4"/>
    <s v="IKD-02"/>
    <n v="5"/>
    <n v="21"/>
    <n v="138.9"/>
    <n v="2"/>
    <n v="6"/>
    <x v="7"/>
    <n v="4.2"/>
    <s v="Mrs. Eze"/>
    <n v="535000"/>
  </r>
  <r>
    <d v="2025-10-27T00:00:00"/>
    <x v="7"/>
    <s v="SRL-01"/>
    <n v="4"/>
    <n v="28.2"/>
    <n v="173.6"/>
    <n v="2"/>
    <n v="10"/>
    <x v="9"/>
    <n v="7.05"/>
    <s v="Mrs. Okafor"/>
    <n v="503000"/>
  </r>
  <r>
    <d v="2025-03-15T00:00:00"/>
    <x v="4"/>
    <s v="IKD-01"/>
    <n v="2"/>
    <n v="8.1"/>
    <n v="89.5"/>
    <n v="3"/>
    <n v="3"/>
    <x v="2"/>
    <n v="4.05"/>
    <s v="Mrs. Eze"/>
    <n v="535000"/>
  </r>
  <r>
    <d v="2025-02-11T00:00:00"/>
    <x v="6"/>
    <s v="LKK-01"/>
    <n v="3"/>
    <n v="16.8"/>
    <n v="102.7"/>
    <n v="1"/>
    <n v="2"/>
    <x v="5"/>
    <n v="5.6000000000000005"/>
    <s v="Mr. Salami"/>
    <n v="200000"/>
  </r>
  <r>
    <d v="2025-07-22T00:00:00"/>
    <x v="0"/>
    <s v="ALM-03"/>
    <n v="3"/>
    <n v="26.7"/>
    <n v="98.5"/>
    <n v="0"/>
    <n v="7"/>
    <x v="1"/>
    <n v="8.9"/>
    <s v="Mr. Bello"/>
    <n v="1288000"/>
  </r>
  <r>
    <d v="2025-11-02T00:00:00"/>
    <x v="6"/>
    <s v="LKK-01"/>
    <n v="5"/>
    <n v="26"/>
    <n v="157.5"/>
    <m/>
    <n v="11"/>
    <x v="4"/>
    <n v="5.2"/>
    <s v="Mr. Salami"/>
    <n v="200000"/>
  </r>
  <r>
    <d v="2025-08-06T00:00:00"/>
    <x v="6"/>
    <s v="LKK-01"/>
    <n v="3"/>
    <n v="14"/>
    <n v="121.3"/>
    <n v="2"/>
    <n v="8"/>
    <x v="6"/>
    <n v="4.666666666666667"/>
    <s v="Mr. Salami"/>
    <n v="200000"/>
  </r>
  <r>
    <d v="2025-04-21T00:00:00"/>
    <x v="7"/>
    <s v="SRL-03"/>
    <n v="3"/>
    <n v="19.7"/>
    <n v="115.5"/>
    <n v="0"/>
    <n v="4"/>
    <x v="8"/>
    <n v="6.5666666666666664"/>
    <s v="Mrs. Okafor"/>
    <n v="503000"/>
  </r>
  <r>
    <d v="2025-08-03T00:00:00"/>
    <x v="7"/>
    <s v="SRL-01"/>
    <n v="5"/>
    <n v="25.9"/>
    <n v="180.3"/>
    <n v="1"/>
    <n v="8"/>
    <x v="6"/>
    <n v="5.18"/>
    <s v="Mrs. Okafor"/>
    <n v="503000"/>
  </r>
  <r>
    <d v="2025-12-11T00:00:00"/>
    <x v="5"/>
    <s v="IKJ-01"/>
    <n v="5"/>
    <n v="42.1"/>
    <n v="216.8"/>
    <n v="3"/>
    <n v="12"/>
    <x v="11"/>
    <n v="8.42"/>
    <s v="Mr. Adeyemi"/>
    <n v="313000"/>
  </r>
  <r>
    <d v="2025-10-26T00:00:00"/>
    <x v="0"/>
    <s v="ALM-03"/>
    <n v="4"/>
    <n v="27"/>
    <n v="158.69999999999999"/>
    <n v="4"/>
    <n v="10"/>
    <x v="9"/>
    <n v="6.75"/>
    <s v="Mr. Bello"/>
    <n v="1288000"/>
  </r>
  <r>
    <d v="2025-04-13T00:00:00"/>
    <x v="2"/>
    <s v="BDG-01"/>
    <n v="4"/>
    <n v="15.2"/>
    <n v="166.3"/>
    <n v="2"/>
    <n v="4"/>
    <x v="8"/>
    <n v="3.8"/>
    <s v="Mrs. Johnson"/>
    <n v="241000"/>
  </r>
  <r>
    <d v="2025-04-15T00:00:00"/>
    <x v="6"/>
    <s v="LKK-01"/>
    <n v="4"/>
    <n v="20.5"/>
    <n v="167.9"/>
    <n v="1"/>
    <n v="4"/>
    <x v="8"/>
    <n v="5.125"/>
    <s v="Mr. Salami"/>
    <n v="200000"/>
  </r>
  <r>
    <d v="2025-07-05T00:00:00"/>
    <x v="3"/>
    <s v="EPE-02"/>
    <n v="2"/>
    <n v="6.9"/>
    <n v="75.2"/>
    <n v="2"/>
    <n v="7"/>
    <x v="1"/>
    <n v="3.45"/>
    <s v="Mr. Ogunleye"/>
    <n v="181000"/>
  </r>
  <r>
    <d v="2025-02-19T00:00:00"/>
    <x v="0"/>
    <s v="ALM-04"/>
    <n v="6"/>
    <n v="40.799999999999997"/>
    <n v="254"/>
    <n v="2"/>
    <n v="2"/>
    <x v="5"/>
    <n v="6.8"/>
    <s v="Mr. Bello"/>
    <n v="1288000"/>
  </r>
  <r>
    <d v="2025-09-18T00:00:00"/>
    <x v="2"/>
    <s v="BDG-01"/>
    <n v="4"/>
    <n v="17.3"/>
    <n v="124.6"/>
    <n v="2"/>
    <n v="9"/>
    <x v="10"/>
    <n v="4.3250000000000002"/>
    <s v="Mrs. Johnson"/>
    <n v="241000"/>
  </r>
  <r>
    <d v="2025-12-02T00:00:00"/>
    <x v="3"/>
    <s v="EPE-01"/>
    <n v="5"/>
    <n v="20.3"/>
    <n v="210.9"/>
    <n v="5"/>
    <n v="12"/>
    <x v="11"/>
    <n v="4.0600000000000005"/>
    <s v="Mr. Ogunleye"/>
    <n v="181000"/>
  </r>
  <r>
    <d v="2025-12-24T00:00:00"/>
    <x v="1"/>
    <s v="MSH-01"/>
    <n v="3"/>
    <n v="23.3"/>
    <n v="115.5"/>
    <n v="0"/>
    <n v="12"/>
    <x v="11"/>
    <n v="7.7666666666666666"/>
    <s v="Mrs. Adisa"/>
    <n v="633000"/>
  </r>
  <r>
    <d v="2025-01-05T00:00:00"/>
    <x v="7"/>
    <s v="SRL-02"/>
    <n v="3"/>
    <n v="24.5"/>
    <n v="97.8"/>
    <n v="0"/>
    <n v="1"/>
    <x v="0"/>
    <n v="8.1666666666666661"/>
    <s v="Mrs. Okafor"/>
    <n v="503000"/>
  </r>
  <r>
    <d v="2025-12-30T00:00:00"/>
    <x v="4"/>
    <s v="IKD-03"/>
    <n v="6"/>
    <n v="24.4"/>
    <n v="182.6"/>
    <n v="5"/>
    <n v="12"/>
    <x v="11"/>
    <n v="4.0666666666666664"/>
    <s v="Mrs. Eze"/>
    <n v="535000"/>
  </r>
  <r>
    <d v="2025-05-16T00:00:00"/>
    <x v="2"/>
    <s v="BDG-01"/>
    <n v="6"/>
    <n v="23"/>
    <n v="208.9"/>
    <n v="3"/>
    <n v="5"/>
    <x v="3"/>
    <n v="3.8333333333333335"/>
    <s v="Mrs. Johnson"/>
    <n v="241000"/>
  </r>
  <r>
    <d v="2025-09-12T00:00:00"/>
    <x v="3"/>
    <s v="EPE-02"/>
    <n v="6"/>
    <n v="18.399999999999999"/>
    <n v="183.4"/>
    <n v="1"/>
    <n v="9"/>
    <x v="10"/>
    <n v="3.0666666666666664"/>
    <s v="Mr. Ogunleye"/>
    <n v="181000"/>
  </r>
  <r>
    <d v="2025-09-19T00:00:00"/>
    <x v="4"/>
    <s v="IKD-01"/>
    <n v="4"/>
    <n v="16.5"/>
    <n v="186.4"/>
    <n v="2"/>
    <n v="9"/>
    <x v="10"/>
    <n v="4.125"/>
    <s v="Mrs. Eze"/>
    <n v="535000"/>
  </r>
  <r>
    <d v="2025-05-30T00:00:00"/>
    <x v="1"/>
    <s v="MSH-02"/>
    <n v="4"/>
    <n v="28"/>
    <n v="143.80000000000001"/>
    <n v="2"/>
    <n v="5"/>
    <x v="3"/>
    <n v="7"/>
    <s v="Mrs. Adisa"/>
    <n v="633000"/>
  </r>
  <r>
    <d v="2025-05-03T00:00:00"/>
    <x v="7"/>
    <s v="SRL-02"/>
    <n v="3"/>
    <n v="19.2"/>
    <n v="103.1"/>
    <n v="0"/>
    <n v="5"/>
    <x v="3"/>
    <n v="6.3999999999999995"/>
    <s v="Mrs. Okafor"/>
    <n v="503000"/>
  </r>
  <r>
    <d v="2025-03-21T00:00:00"/>
    <x v="3"/>
    <s v="EPE-02"/>
    <n v="6"/>
    <n v="18.7"/>
    <m/>
    <n v="2"/>
    <n v="3"/>
    <x v="2"/>
    <n v="3.1166666666666667"/>
    <s v="Mr. Ogunleye"/>
    <n v="181000"/>
  </r>
  <r>
    <d v="2025-11-13T00:00:00"/>
    <x v="7"/>
    <s v="SRL-02"/>
    <n v="5"/>
    <n v="33.299999999999997"/>
    <n v="191.1"/>
    <n v="1"/>
    <n v="11"/>
    <x v="4"/>
    <n v="6.6599999999999993"/>
    <s v="Mrs. Okafor"/>
    <n v="503000"/>
  </r>
  <r>
    <d v="2025-01-11T00:00:00"/>
    <x v="0"/>
    <s v="ALM-02"/>
    <n v="6"/>
    <n v="45.6"/>
    <n v="245.1"/>
    <n v="1"/>
    <n v="1"/>
    <x v="0"/>
    <n v="7.6000000000000005"/>
    <s v="Mr. Bello"/>
    <n v="1288000"/>
  </r>
  <r>
    <d v="2025-08-06T00:00:00"/>
    <x v="7"/>
    <s v="SRL-03"/>
    <n v="5"/>
    <n v="27.1"/>
    <n v="209"/>
    <n v="3"/>
    <n v="8"/>
    <x v="6"/>
    <n v="5.42"/>
    <s v="Mrs. Okafor"/>
    <n v="503000"/>
  </r>
  <r>
    <d v="2025-05-28T00:00:00"/>
    <x v="4"/>
    <s v="IKD-02"/>
    <n v="6"/>
    <n v="26.9"/>
    <m/>
    <n v="5"/>
    <n v="5"/>
    <x v="3"/>
    <n v="4.4833333333333334"/>
    <s v="Mrs. Eze"/>
    <n v="535000"/>
  </r>
  <r>
    <d v="2025-09-13T00:00:00"/>
    <x v="4"/>
    <s v="IKD-03"/>
    <n v="5"/>
    <n v="22.4"/>
    <n v="191.9"/>
    <n v="3"/>
    <n v="9"/>
    <x v="10"/>
    <n v="4.4799999999999995"/>
    <s v="Mrs. Eze"/>
    <n v="535000"/>
  </r>
  <r>
    <d v="2025-11-18T00:00:00"/>
    <x v="1"/>
    <s v="MSH-01"/>
    <n v="4"/>
    <n v="23.5"/>
    <n v="158.80000000000001"/>
    <n v="2"/>
    <n v="11"/>
    <x v="4"/>
    <n v="5.875"/>
    <s v="Mrs. Adisa"/>
    <n v="633000"/>
  </r>
  <r>
    <d v="2025-02-15T00:00:00"/>
    <x v="5"/>
    <s v="IKJ-02"/>
    <n v="5"/>
    <n v="27.7"/>
    <n v="163.80000000000001"/>
    <n v="4"/>
    <n v="2"/>
    <x v="5"/>
    <n v="5.54"/>
    <s v="Mr. Adeyemi"/>
    <n v="313000"/>
  </r>
  <r>
    <d v="2025-08-29T00:00:00"/>
    <x v="5"/>
    <s v="IKJ-01"/>
    <n v="4"/>
    <n v="33"/>
    <n v="149.6"/>
    <n v="2"/>
    <n v="8"/>
    <x v="6"/>
    <n v="8.25"/>
    <s v="Mr. Adeyemi"/>
    <n v="313000"/>
  </r>
  <r>
    <d v="2025-07-12T00:00:00"/>
    <x v="0"/>
    <s v="ALM-01"/>
    <n v="5"/>
    <n v="35.200000000000003"/>
    <n v="200.5"/>
    <n v="2"/>
    <n v="7"/>
    <x v="1"/>
    <n v="7.0400000000000009"/>
    <s v="Mr. Bello"/>
    <n v="1288000"/>
  </r>
  <r>
    <d v="2025-12-13T00:00:00"/>
    <x v="3"/>
    <s v="EPE-02"/>
    <n v="6"/>
    <n v="28.1"/>
    <n v="224.3"/>
    <n v="2"/>
    <n v="12"/>
    <x v="11"/>
    <n v="4.6833333333333336"/>
    <s v="Mr. Ogunleye"/>
    <n v="181000"/>
  </r>
  <r>
    <d v="2025-06-06T00:00:00"/>
    <x v="0"/>
    <s v="ALM-02"/>
    <n v="4"/>
    <n v="26.9"/>
    <n v="172.2"/>
    <n v="4"/>
    <n v="6"/>
    <x v="7"/>
    <n v="6.7249999999999996"/>
    <s v="Mr. Bello"/>
    <n v="1288000"/>
  </r>
  <r>
    <d v="2025-03-01T00:00:00"/>
    <x v="7"/>
    <s v="SRL-01"/>
    <n v="5"/>
    <n v="33.299999999999997"/>
    <n v="197.5"/>
    <n v="1"/>
    <n v="3"/>
    <x v="2"/>
    <n v="6.6599999999999993"/>
    <s v="Mrs. Okafor"/>
    <n v="503000"/>
  </r>
  <r>
    <d v="2025-04-11T00:00:00"/>
    <x v="3"/>
    <s v="EPE-02"/>
    <n v="5"/>
    <n v="16.5"/>
    <n v="253"/>
    <n v="6"/>
    <n v="4"/>
    <x v="8"/>
    <n v="3.3"/>
    <s v="Mr. Ogunleye"/>
    <n v="181000"/>
  </r>
  <r>
    <d v="2025-09-05T00:00:00"/>
    <x v="6"/>
    <s v="LKK-02"/>
    <n v="2"/>
    <n v="12.5"/>
    <n v="68.599999999999994"/>
    <n v="2"/>
    <n v="9"/>
    <x v="10"/>
    <n v="6.25"/>
    <s v="Mr. Salami"/>
    <n v="200000"/>
  </r>
  <r>
    <d v="2025-07-25T00:00:00"/>
    <x v="7"/>
    <s v="SRL-02"/>
    <n v="2"/>
    <n v="12.2"/>
    <n v="80"/>
    <n v="1"/>
    <n v="7"/>
    <x v="1"/>
    <n v="6.1"/>
    <s v="Mrs. Okafor"/>
    <n v="503000"/>
  </r>
  <r>
    <d v="2025-07-26T00:00:00"/>
    <x v="0"/>
    <s v="ALM-01"/>
    <n v="2"/>
    <n v="11.7"/>
    <n v="66.2"/>
    <n v="0"/>
    <n v="7"/>
    <x v="1"/>
    <n v="5.85"/>
    <s v="Mr. Bello"/>
    <n v="1288000"/>
  </r>
  <r>
    <d v="2025-04-26T00:00:00"/>
    <x v="7"/>
    <s v="SRL-03"/>
    <n v="4"/>
    <n v="28.8"/>
    <n v="95.8"/>
    <n v="3"/>
    <n v="4"/>
    <x v="8"/>
    <n v="7.2"/>
    <s v="Mrs. Okafor"/>
    <n v="503000"/>
  </r>
  <r>
    <d v="2025-07-20T00:00:00"/>
    <x v="0"/>
    <s v="ALM-02"/>
    <n v="3"/>
    <n v="23.1"/>
    <n v="90.9"/>
    <n v="0"/>
    <n v="7"/>
    <x v="1"/>
    <n v="7.7"/>
    <s v="Mr. Bello"/>
    <n v="1288000"/>
  </r>
  <r>
    <d v="2025-05-04T00:00:00"/>
    <x v="7"/>
    <s v="SRL-03"/>
    <n v="2"/>
    <n v="12.4"/>
    <n v="73.599999999999994"/>
    <n v="1"/>
    <n v="5"/>
    <x v="3"/>
    <n v="6.2"/>
    <s v="Mrs. Okafor"/>
    <n v="503000"/>
  </r>
  <r>
    <d v="2025-10-18T00:00:00"/>
    <x v="2"/>
    <s v="BDG-02"/>
    <n v="3"/>
    <n v="12.5"/>
    <n v="118.4"/>
    <n v="4"/>
    <n v="10"/>
    <x v="9"/>
    <n v="4.166666666666667"/>
    <s v="Mrs. Johnson"/>
    <n v="241000"/>
  </r>
  <r>
    <d v="2025-12-16T00:00:00"/>
    <x v="0"/>
    <s v="ALM-01"/>
    <n v="5"/>
    <n v="45"/>
    <n v="165.8"/>
    <n v="0"/>
    <n v="12"/>
    <x v="11"/>
    <n v="9"/>
    <s v="Mr. Bello"/>
    <n v="1288000"/>
  </r>
  <r>
    <d v="2025-12-25T00:00:00"/>
    <x v="6"/>
    <s v="LKK-01"/>
    <n v="2"/>
    <n v="13.5"/>
    <n v="70.099999999999994"/>
    <n v="0"/>
    <n v="12"/>
    <x v="11"/>
    <n v="6.75"/>
    <s v="Mr. Salami"/>
    <n v="200000"/>
  </r>
  <r>
    <d v="2025-09-09T00:00:00"/>
    <x v="1"/>
    <s v="MSH-03"/>
    <n v="2"/>
    <n v="14.3"/>
    <n v="79.2"/>
    <n v="1"/>
    <n v="9"/>
    <x v="10"/>
    <n v="7.15"/>
    <s v="Mrs. Adisa"/>
    <n v="633000"/>
  </r>
  <r>
    <d v="2025-04-04T00:00:00"/>
    <x v="0"/>
    <s v="ALM-03"/>
    <n v="5"/>
    <n v="43.4"/>
    <n v="227"/>
    <n v="0"/>
    <n v="4"/>
    <x v="8"/>
    <n v="8.68"/>
    <s v="Mr. Bello"/>
    <n v="1288000"/>
  </r>
  <r>
    <d v="2025-07-22T00:00:00"/>
    <x v="4"/>
    <s v="IKD-02"/>
    <n v="5"/>
    <n v="21.4"/>
    <m/>
    <n v="4"/>
    <n v="7"/>
    <x v="1"/>
    <n v="4.2799999999999994"/>
    <s v="Mrs. Eze"/>
    <n v="535000"/>
  </r>
  <r>
    <d v="2025-06-30T00:00:00"/>
    <x v="5"/>
    <s v="IKJ-01"/>
    <n v="5"/>
    <n v="30.6"/>
    <n v="173.7"/>
    <n v="0"/>
    <n v="6"/>
    <x v="7"/>
    <n v="6.12"/>
    <s v="Mr. Adeyemi"/>
    <n v="313000"/>
  </r>
  <r>
    <d v="2025-12-12T00:00:00"/>
    <x v="1"/>
    <s v="MSH-02"/>
    <n v="6"/>
    <n v="55.4"/>
    <n v="209.3"/>
    <n v="0"/>
    <n v="12"/>
    <x v="11"/>
    <n v="9.2333333333333325"/>
    <s v="Mrs. Adisa"/>
    <n v="633000"/>
  </r>
  <r>
    <d v="2025-03-07T00:00:00"/>
    <x v="6"/>
    <s v="LKK-02"/>
    <n v="4"/>
    <m/>
    <n v="156.69999999999999"/>
    <n v="0"/>
    <n v="3"/>
    <x v="2"/>
    <m/>
    <s v="Mr. Salami"/>
    <n v="200000"/>
  </r>
  <r>
    <d v="2025-07-25T00:00:00"/>
    <x v="3"/>
    <s v="EPE-02"/>
    <n v="5"/>
    <n v="17.2"/>
    <n v="169.1"/>
    <n v="3"/>
    <n v="7"/>
    <x v="1"/>
    <n v="3.44"/>
    <s v="Mr. Ogunleye"/>
    <n v="181000"/>
  </r>
  <r>
    <d v="2025-07-20T00:00:00"/>
    <x v="2"/>
    <s v="BDG-01"/>
    <n v="6"/>
    <n v="21.5"/>
    <n v="267.7"/>
    <n v="3"/>
    <n v="7"/>
    <x v="1"/>
    <n v="3.5833333333333335"/>
    <s v="Mrs. Johnson"/>
    <n v="241000"/>
  </r>
  <r>
    <d v="2025-06-22T00:00:00"/>
    <x v="5"/>
    <s v="IKJ-03"/>
    <n v="5"/>
    <n v="38.200000000000003"/>
    <n v="172.9"/>
    <n v="2"/>
    <n v="6"/>
    <x v="7"/>
    <n v="7.6400000000000006"/>
    <s v="Mr. Adeyemi"/>
    <n v="313000"/>
  </r>
  <r>
    <d v="2025-03-04T00:00:00"/>
    <x v="0"/>
    <s v="ALM-03"/>
    <n v="4"/>
    <n v="37.1"/>
    <n v="130.9"/>
    <n v="0"/>
    <n v="3"/>
    <x v="2"/>
    <n v="9.2750000000000004"/>
    <s v="Mr. Bello"/>
    <n v="1288000"/>
  </r>
  <r>
    <d v="2025-03-15T00:00:00"/>
    <x v="4"/>
    <s v="IKD-01"/>
    <n v="6"/>
    <n v="23.4"/>
    <n v="210.5"/>
    <n v="1"/>
    <n v="3"/>
    <x v="2"/>
    <n v="3.9"/>
    <s v="Mrs. Eze"/>
    <n v="535000"/>
  </r>
  <r>
    <d v="2025-08-08T00:00:00"/>
    <x v="4"/>
    <s v="IKD-01"/>
    <n v="4"/>
    <n v="16.3"/>
    <n v="117.8"/>
    <n v="4"/>
    <n v="8"/>
    <x v="6"/>
    <n v="4.0750000000000002"/>
    <s v="Mrs. Eze"/>
    <n v="535000"/>
  </r>
  <r>
    <d v="2025-02-14T00:00:00"/>
    <x v="4"/>
    <s v="IKD-02"/>
    <n v="6"/>
    <n v="23.7"/>
    <n v="208.2"/>
    <n v="4"/>
    <n v="2"/>
    <x v="5"/>
    <n v="3.9499999999999997"/>
    <s v="Mrs. Eze"/>
    <n v="535000"/>
  </r>
  <r>
    <d v="2025-03-22T00:00:00"/>
    <x v="4"/>
    <s v="IKD-03"/>
    <n v="6"/>
    <n v="23"/>
    <n v="264.89999999999998"/>
    <n v="0"/>
    <n v="3"/>
    <x v="2"/>
    <n v="3.8333333333333335"/>
    <s v="Mrs. Eze"/>
    <n v="535000"/>
  </r>
  <r>
    <d v="2025-06-15T00:00:00"/>
    <x v="0"/>
    <s v="ALM-04"/>
    <n v="4"/>
    <n v="29.5"/>
    <n v="134"/>
    <n v="0"/>
    <n v="6"/>
    <x v="7"/>
    <n v="7.375"/>
    <s v="Mr. Bello"/>
    <n v="1288000"/>
  </r>
  <r>
    <d v="2025-10-06T00:00:00"/>
    <x v="7"/>
    <s v="SRL-01"/>
    <n v="6"/>
    <n v="32.299999999999997"/>
    <n v="199.3"/>
    <n v="1"/>
    <n v="10"/>
    <x v="9"/>
    <n v="5.3833333333333329"/>
    <s v="Mrs. Okafor"/>
    <n v="503000"/>
  </r>
  <r>
    <d v="2025-10-07T00:00:00"/>
    <x v="2"/>
    <s v="BDG-01"/>
    <n v="3"/>
    <n v="13.6"/>
    <n v="102.4"/>
    <n v="3"/>
    <n v="10"/>
    <x v="9"/>
    <n v="4.5333333333333332"/>
    <s v="Mrs. Johnson"/>
    <n v="241000"/>
  </r>
  <r>
    <d v="2025-04-22T00:00:00"/>
    <x v="5"/>
    <s v="IKJ-02"/>
    <n v="5"/>
    <m/>
    <n v="189.4"/>
    <n v="1"/>
    <n v="4"/>
    <x v="8"/>
    <m/>
    <s v="Mr. Adeyemi"/>
    <n v="313000"/>
  </r>
  <r>
    <d v="2025-04-15T00:00:00"/>
    <x v="1"/>
    <s v="MSH-01"/>
    <n v="3"/>
    <n v="20.8"/>
    <n v="107.1"/>
    <n v="4"/>
    <n v="4"/>
    <x v="8"/>
    <n v="6.9333333333333336"/>
    <s v="Mrs. Adisa"/>
    <n v="633000"/>
  </r>
  <r>
    <d v="2025-11-03T00:00:00"/>
    <x v="4"/>
    <s v="IKD-02"/>
    <n v="4"/>
    <n v="16"/>
    <n v="146.80000000000001"/>
    <n v="2"/>
    <n v="11"/>
    <x v="4"/>
    <n v="4"/>
    <s v="Mrs. Eze"/>
    <n v="535000"/>
  </r>
  <r>
    <d v="2025-02-11T00:00:00"/>
    <x v="2"/>
    <s v="BDG-02"/>
    <n v="4"/>
    <n v="13.5"/>
    <n v="139.69999999999999"/>
    <n v="2"/>
    <n v="2"/>
    <x v="5"/>
    <n v="3.375"/>
    <s v="Mrs. Johnson"/>
    <n v="241000"/>
  </r>
  <r>
    <d v="2025-10-10T00:00:00"/>
    <x v="2"/>
    <s v="BDG-02"/>
    <n v="6"/>
    <n v="24.6"/>
    <n v="219"/>
    <n v="4"/>
    <n v="10"/>
    <x v="9"/>
    <n v="4.1000000000000005"/>
    <s v="Mrs. Johnson"/>
    <n v="241000"/>
  </r>
  <r>
    <d v="2025-07-25T00:00:00"/>
    <x v="0"/>
    <s v="ALM-03"/>
    <n v="3"/>
    <n v="19.2"/>
    <n v="99.9"/>
    <n v="1"/>
    <n v="7"/>
    <x v="1"/>
    <n v="6.3999999999999995"/>
    <s v="Mr. Bello"/>
    <n v="1288000"/>
  </r>
  <r>
    <d v="2025-03-23T00:00:00"/>
    <x v="6"/>
    <s v="LKK-01"/>
    <n v="3"/>
    <n v="17"/>
    <n v="117.3"/>
    <n v="1"/>
    <n v="3"/>
    <x v="2"/>
    <n v="5.666666666666667"/>
    <s v="Mr. Salami"/>
    <n v="200000"/>
  </r>
  <r>
    <d v="2025-01-20T00:00:00"/>
    <x v="2"/>
    <s v="BDG-01"/>
    <n v="6"/>
    <n v="26"/>
    <n v="236.7"/>
    <n v="1"/>
    <n v="1"/>
    <x v="0"/>
    <n v="4.333333333333333"/>
    <s v="Mrs. Johnson"/>
    <n v="241000"/>
  </r>
  <r>
    <d v="2025-10-21T00:00:00"/>
    <x v="5"/>
    <s v="IKJ-03"/>
    <n v="4"/>
    <n v="27.3"/>
    <n v="124.7"/>
    <n v="1"/>
    <n v="10"/>
    <x v="9"/>
    <n v="6.8250000000000002"/>
    <s v="Mr. Adeyemi"/>
    <n v="313000"/>
  </r>
  <r>
    <d v="2025-12-09T00:00:00"/>
    <x v="1"/>
    <s v="MSH-01"/>
    <n v="3"/>
    <n v="31"/>
    <n v="132.4"/>
    <n v="0"/>
    <n v="12"/>
    <x v="11"/>
    <n v="10.333333333333334"/>
    <s v="Mrs. Adisa"/>
    <n v="633000"/>
  </r>
  <r>
    <d v="2025-06-08T00:00:00"/>
    <x v="5"/>
    <s v="IKJ-02"/>
    <n v="5"/>
    <n v="35.200000000000003"/>
    <n v="217.7"/>
    <n v="1"/>
    <n v="6"/>
    <x v="7"/>
    <n v="7.0400000000000009"/>
    <s v="Mr. Adeyemi"/>
    <n v="313000"/>
  </r>
  <r>
    <d v="2025-04-13T00:00:00"/>
    <x v="3"/>
    <s v="EPE-01"/>
    <n v="2"/>
    <n v="7.5"/>
    <n v="84.4"/>
    <n v="2"/>
    <n v="4"/>
    <x v="8"/>
    <n v="3.75"/>
    <s v="Mr. Ogunleye"/>
    <n v="181000"/>
  </r>
  <r>
    <d v="2025-01-23T00:00:00"/>
    <x v="2"/>
    <s v="BDG-01"/>
    <n v="3"/>
    <n v="13.8"/>
    <n v="97.9"/>
    <n v="5"/>
    <n v="1"/>
    <x v="0"/>
    <n v="4.6000000000000005"/>
    <s v="Mrs. Johnson"/>
    <n v="241000"/>
  </r>
  <r>
    <d v="2025-11-12T00:00:00"/>
    <x v="3"/>
    <s v="EPE-01"/>
    <n v="3"/>
    <n v="11.8"/>
    <n v="109.1"/>
    <n v="3"/>
    <n v="11"/>
    <x v="4"/>
    <n v="3.9333333333333336"/>
    <s v="Mr. Ogunleye"/>
    <n v="181000"/>
  </r>
  <r>
    <d v="2025-06-24T00:00:00"/>
    <x v="5"/>
    <s v="IKJ-02"/>
    <n v="6"/>
    <n v="31.7"/>
    <n v="203.3"/>
    <n v="2"/>
    <n v="6"/>
    <x v="7"/>
    <n v="5.2833333333333332"/>
    <s v="Mr. Adeyemi"/>
    <n v="313000"/>
  </r>
  <r>
    <d v="2025-12-07T00:00:00"/>
    <x v="2"/>
    <s v="BDG-01"/>
    <n v="5"/>
    <n v="22.5"/>
    <n v="173.1"/>
    <n v="2"/>
    <n v="12"/>
    <x v="11"/>
    <n v="4.5"/>
    <s v="Mrs. Johnson"/>
    <n v="241000"/>
  </r>
  <r>
    <d v="2025-01-21T00:00:00"/>
    <x v="5"/>
    <s v="IKJ-02"/>
    <n v="6"/>
    <n v="38.200000000000003"/>
    <n v="259.3"/>
    <n v="0"/>
    <n v="1"/>
    <x v="0"/>
    <n v="6.3666666666666671"/>
    <s v="Mr. Adeyemi"/>
    <n v="313000"/>
  </r>
  <r>
    <d v="2025-01-31T00:00:00"/>
    <x v="1"/>
    <s v="MSH-02"/>
    <n v="4"/>
    <n v="28.4"/>
    <n v="179.2"/>
    <n v="2"/>
    <n v="1"/>
    <x v="0"/>
    <n v="7.1"/>
    <s v="Mrs. Adisa"/>
    <n v="633000"/>
  </r>
  <r>
    <d v="2025-12-05T00:00:00"/>
    <x v="7"/>
    <s v="SRL-02"/>
    <n v="5"/>
    <n v="44.3"/>
    <n v="201.7"/>
    <n v="0"/>
    <n v="12"/>
    <x v="11"/>
    <n v="8.86"/>
    <s v="Mrs. Okafor"/>
    <n v="503000"/>
  </r>
  <r>
    <d v="2025-01-06T00:00:00"/>
    <x v="1"/>
    <s v="MSH-02"/>
    <n v="4"/>
    <n v="29.2"/>
    <n v="163.1"/>
    <n v="2"/>
    <n v="1"/>
    <x v="0"/>
    <n v="7.3"/>
    <s v="Mrs. Adisa"/>
    <n v="633000"/>
  </r>
  <r>
    <d v="2025-10-11T00:00:00"/>
    <x v="5"/>
    <s v="IKJ-02"/>
    <n v="2"/>
    <n v="14.1"/>
    <n v="80.400000000000006"/>
    <n v="1"/>
    <n v="10"/>
    <x v="9"/>
    <n v="7.05"/>
    <s v="Mr. Adeyemi"/>
    <n v="313000"/>
  </r>
  <r>
    <d v="2025-04-14T00:00:00"/>
    <x v="5"/>
    <s v="IKJ-02"/>
    <n v="6"/>
    <n v="39.5"/>
    <n v="211.2"/>
    <n v="2"/>
    <n v="4"/>
    <x v="8"/>
    <n v="6.583333333333333"/>
    <s v="Mr. Adeyemi"/>
    <n v="313000"/>
  </r>
  <r>
    <d v="2025-06-05T00:00:00"/>
    <x v="0"/>
    <s v="ALM-03"/>
    <n v="3"/>
    <n v="23"/>
    <n v="99.3"/>
    <n v="0"/>
    <n v="6"/>
    <x v="7"/>
    <n v="7.666666666666667"/>
    <s v="Mr. Bello"/>
    <n v="1288000"/>
  </r>
  <r>
    <d v="2025-07-15T00:00:00"/>
    <x v="1"/>
    <s v="MSH-03"/>
    <n v="4"/>
    <n v="29.3"/>
    <n v="136.6"/>
    <n v="1"/>
    <n v="7"/>
    <x v="1"/>
    <n v="7.3250000000000002"/>
    <s v="Mrs. Adisa"/>
    <n v="633000"/>
  </r>
  <r>
    <d v="2025-08-27T00:00:00"/>
    <x v="0"/>
    <s v="ALM-03"/>
    <n v="5"/>
    <n v="32.4"/>
    <n v="143.80000000000001"/>
    <n v="1"/>
    <n v="8"/>
    <x v="6"/>
    <n v="6.4799999999999995"/>
    <s v="Mr. Bello"/>
    <n v="1288000"/>
  </r>
  <r>
    <d v="2025-09-01T00:00:00"/>
    <x v="1"/>
    <s v="MSH-02"/>
    <n v="2"/>
    <n v="11"/>
    <n v="78.3"/>
    <n v="1"/>
    <n v="9"/>
    <x v="10"/>
    <n v="5.5"/>
    <s v="Mrs. Adisa"/>
    <n v="633000"/>
  </r>
  <r>
    <d v="2025-02-05T00:00:00"/>
    <x v="0"/>
    <s v="ALM-01"/>
    <n v="5"/>
    <n v="28.8"/>
    <n v="186.1"/>
    <n v="0"/>
    <n v="2"/>
    <x v="5"/>
    <n v="5.76"/>
    <s v="Mr. Bello"/>
    <n v="1288000"/>
  </r>
  <r>
    <d v="2025-01-16T00:00:00"/>
    <x v="6"/>
    <s v="LKK-01"/>
    <n v="4"/>
    <n v="24.2"/>
    <n v="173.5"/>
    <n v="0"/>
    <n v="1"/>
    <x v="0"/>
    <n v="6.05"/>
    <s v="Mr. Salami"/>
    <n v="200000"/>
  </r>
  <r>
    <d v="2025-02-02T00:00:00"/>
    <x v="5"/>
    <s v="IKJ-02"/>
    <n v="2"/>
    <n v="12.9"/>
    <n v="95.1"/>
    <n v="0"/>
    <n v="2"/>
    <x v="5"/>
    <n v="6.45"/>
    <s v="Mr. Adeyemi"/>
    <n v="313000"/>
  </r>
  <r>
    <d v="2025-03-12T00:00:00"/>
    <x v="5"/>
    <s v="IKJ-01"/>
    <n v="2"/>
    <n v="14.3"/>
    <n v="93.2"/>
    <n v="1"/>
    <n v="3"/>
    <x v="2"/>
    <n v="7.15"/>
    <s v="Mr. Adeyemi"/>
    <n v="313000"/>
  </r>
  <r>
    <d v="2025-12-26T00:00:00"/>
    <x v="2"/>
    <s v="BDG-01"/>
    <n v="4"/>
    <n v="23.3"/>
    <n v="141.5"/>
    <m/>
    <n v="12"/>
    <x v="11"/>
    <n v="5.8250000000000002"/>
    <s v="Mrs. Johnson"/>
    <n v="241000"/>
  </r>
  <r>
    <d v="2025-02-26T00:00:00"/>
    <x v="6"/>
    <s v="LKK-01"/>
    <n v="4"/>
    <n v="19.899999999999999"/>
    <n v="146.69999999999999"/>
    <n v="0"/>
    <n v="2"/>
    <x v="5"/>
    <n v="4.9749999999999996"/>
    <s v="Mr. Salami"/>
    <n v="200000"/>
  </r>
  <r>
    <d v="2025-08-15T00:00:00"/>
    <x v="4"/>
    <s v="IKD-02"/>
    <n v="5"/>
    <n v="15.9"/>
    <n v="212.5"/>
    <n v="2"/>
    <n v="8"/>
    <x v="6"/>
    <n v="3.18"/>
    <s v="Mrs. Eze"/>
    <n v="535000"/>
  </r>
  <r>
    <d v="2025-02-23T00:00:00"/>
    <x v="0"/>
    <s v="ALM-01"/>
    <n v="4"/>
    <n v="25.8"/>
    <n v="133.30000000000001"/>
    <n v="1"/>
    <n v="2"/>
    <x v="5"/>
    <n v="6.45"/>
    <s v="Mr. Bello"/>
    <n v="1288000"/>
  </r>
  <r>
    <d v="2025-10-02T00:00:00"/>
    <x v="1"/>
    <s v="MSH-03"/>
    <n v="2"/>
    <n v="11.6"/>
    <n v="70.900000000000006"/>
    <n v="1"/>
    <n v="10"/>
    <x v="9"/>
    <n v="5.8"/>
    <s v="Mrs. Adisa"/>
    <n v="633000"/>
  </r>
  <r>
    <d v="2025-11-05T00:00:00"/>
    <x v="2"/>
    <s v="BDG-01"/>
    <n v="2"/>
    <n v="9.5"/>
    <n v="77.599999999999994"/>
    <n v="2"/>
    <n v="11"/>
    <x v="4"/>
    <n v="4.75"/>
    <s v="Mrs. Johnson"/>
    <n v="241000"/>
  </r>
  <r>
    <d v="2025-04-18T00:00:00"/>
    <x v="2"/>
    <s v="BDG-01"/>
    <n v="2"/>
    <n v="8"/>
    <n v="61.8"/>
    <n v="2"/>
    <n v="4"/>
    <x v="8"/>
    <n v="4"/>
    <s v="Mrs. Johnson"/>
    <n v="241000"/>
  </r>
  <r>
    <d v="2025-06-11T00:00:00"/>
    <x v="7"/>
    <s v="SRL-03"/>
    <n v="6"/>
    <n v="31"/>
    <n v="218.6"/>
    <n v="3"/>
    <n v="6"/>
    <x v="7"/>
    <n v="5.166666666666667"/>
    <s v="Mrs. Okafor"/>
    <n v="503000"/>
  </r>
  <r>
    <d v="2025-04-08T00:00:00"/>
    <x v="0"/>
    <s v="ALM-03"/>
    <n v="6"/>
    <n v="35.200000000000003"/>
    <n v="201.4"/>
    <n v="4"/>
    <n v="4"/>
    <x v="8"/>
    <n v="5.8666666666666671"/>
    <s v="Mr. Bello"/>
    <n v="1288000"/>
  </r>
  <r>
    <d v="2025-12-07T00:00:00"/>
    <x v="4"/>
    <s v="IKD-01"/>
    <n v="3"/>
    <n v="17.2"/>
    <n v="100.8"/>
    <n v="6"/>
    <n v="12"/>
    <x v="11"/>
    <n v="5.7333333333333334"/>
    <s v="Mrs. Eze"/>
    <n v="535000"/>
  </r>
  <r>
    <d v="2025-10-11T00:00:00"/>
    <x v="1"/>
    <s v="MSH-01"/>
    <n v="2"/>
    <n v="10.4"/>
    <n v="72.099999999999994"/>
    <n v="0"/>
    <n v="10"/>
    <x v="9"/>
    <n v="5.2"/>
    <s v="Mrs. Adisa"/>
    <n v="633000"/>
  </r>
  <r>
    <d v="2025-04-16T00:00:00"/>
    <x v="5"/>
    <s v="IKJ-01"/>
    <n v="4"/>
    <n v="28.8"/>
    <n v="163.80000000000001"/>
    <n v="0"/>
    <n v="4"/>
    <x v="8"/>
    <n v="7.2"/>
    <s v="Mr. Adeyemi"/>
    <n v="313000"/>
  </r>
  <r>
    <d v="2025-08-25T00:00:00"/>
    <x v="5"/>
    <s v="IKJ-01"/>
    <n v="2"/>
    <n v="10.3"/>
    <n v="70.099999999999994"/>
    <n v="1"/>
    <n v="8"/>
    <x v="6"/>
    <n v="5.15"/>
    <s v="Mr. Adeyemi"/>
    <n v="313000"/>
  </r>
  <r>
    <d v="2025-10-04T00:00:00"/>
    <x v="2"/>
    <s v="BDG-02"/>
    <n v="6"/>
    <n v="26.5"/>
    <n v="201.7"/>
    <n v="4"/>
    <n v="10"/>
    <x v="9"/>
    <n v="4.416666666666667"/>
    <s v="Mrs. Johnson"/>
    <n v="241000"/>
  </r>
  <r>
    <d v="2025-07-24T00:00:00"/>
    <x v="0"/>
    <s v="ALM-02"/>
    <n v="2"/>
    <n v="14.6"/>
    <n v="80.2"/>
    <n v="1"/>
    <n v="7"/>
    <x v="1"/>
    <n v="7.3"/>
    <s v="Mr. Bello"/>
    <n v="1288000"/>
  </r>
  <r>
    <d v="2025-08-08T00:00:00"/>
    <x v="2"/>
    <s v="BDG-02"/>
    <n v="3"/>
    <n v="11.9"/>
    <n v="118.6"/>
    <n v="3"/>
    <n v="8"/>
    <x v="6"/>
    <n v="3.9666666666666668"/>
    <s v="Mrs. Johnson"/>
    <n v="241000"/>
  </r>
  <r>
    <d v="2025-08-09T00:00:00"/>
    <x v="3"/>
    <s v="EPE-01"/>
    <n v="3"/>
    <n v="9.4"/>
    <n v="112.6"/>
    <n v="3"/>
    <n v="8"/>
    <x v="6"/>
    <n v="3.1333333333333333"/>
    <s v="Mr. Ogunleye"/>
    <n v="181000"/>
  </r>
  <r>
    <d v="2025-10-01T00:00:00"/>
    <x v="0"/>
    <s v="ALM-01"/>
    <n v="2"/>
    <n v="17.8"/>
    <n v="74.099999999999994"/>
    <n v="1"/>
    <n v="10"/>
    <x v="9"/>
    <n v="8.9"/>
    <s v="Mr. Bello"/>
    <n v="1288000"/>
  </r>
  <r>
    <d v="2025-06-07T00:00:00"/>
    <x v="7"/>
    <s v="SRL-01"/>
    <n v="3"/>
    <n v="16.5"/>
    <n v="98.5"/>
    <n v="1"/>
    <n v="6"/>
    <x v="7"/>
    <n v="5.5"/>
    <s v="Mrs. Okafor"/>
    <n v="503000"/>
  </r>
  <r>
    <d v="2025-11-01T00:00:00"/>
    <x v="1"/>
    <s v="MSH-01"/>
    <n v="6"/>
    <n v="45.9"/>
    <n v="258.89999999999998"/>
    <n v="1"/>
    <n v="11"/>
    <x v="4"/>
    <n v="7.6499999999999995"/>
    <s v="Mrs. Adisa"/>
    <n v="633000"/>
  </r>
  <r>
    <d v="2025-09-05T00:00:00"/>
    <x v="5"/>
    <s v="IKJ-03"/>
    <n v="6"/>
    <n v="42"/>
    <n v="185.9"/>
    <n v="4"/>
    <n v="9"/>
    <x v="10"/>
    <n v="7"/>
    <s v="Mr. Adeyemi"/>
    <n v="313000"/>
  </r>
  <r>
    <d v="2025-06-03T00:00:00"/>
    <x v="2"/>
    <s v="BDG-01"/>
    <n v="6"/>
    <n v="19.100000000000001"/>
    <n v="271.2"/>
    <n v="1"/>
    <n v="6"/>
    <x v="7"/>
    <n v="3.1833333333333336"/>
    <s v="Mrs. Johnson"/>
    <n v="241000"/>
  </r>
  <r>
    <d v="2025-12-23T00:00:00"/>
    <x v="4"/>
    <s v="IKD-02"/>
    <n v="6"/>
    <n v="25.4"/>
    <n v="214.2"/>
    <m/>
    <n v="12"/>
    <x v="11"/>
    <n v="4.2333333333333334"/>
    <s v="Mrs. Eze"/>
    <n v="535000"/>
  </r>
  <r>
    <d v="2025-03-28T00:00:00"/>
    <x v="7"/>
    <s v="SRL-02"/>
    <n v="5"/>
    <n v="32.9"/>
    <n v="177.8"/>
    <n v="1"/>
    <n v="3"/>
    <x v="2"/>
    <n v="6.58"/>
    <s v="Mrs. Okafor"/>
    <n v="503000"/>
  </r>
  <r>
    <d v="2025-02-20T00:00:00"/>
    <x v="3"/>
    <s v="EPE-02"/>
    <n v="6"/>
    <m/>
    <n v="247"/>
    <n v="2"/>
    <n v="2"/>
    <x v="5"/>
    <m/>
    <s v="Mr. Ogunleye"/>
    <n v="181000"/>
  </r>
  <r>
    <d v="2025-12-18T00:00:00"/>
    <x v="5"/>
    <s v="IKJ-02"/>
    <n v="5"/>
    <n v="46.2"/>
    <n v="222.2"/>
    <n v="1"/>
    <n v="12"/>
    <x v="11"/>
    <n v="9.24"/>
    <s v="Mr. Adeyemi"/>
    <n v="313000"/>
  </r>
  <r>
    <d v="2025-05-01T00:00:00"/>
    <x v="1"/>
    <s v="MSH-03"/>
    <n v="4"/>
    <n v="27"/>
    <n v="157.5"/>
    <n v="2"/>
    <n v="5"/>
    <x v="3"/>
    <n v="6.75"/>
    <s v="Mrs. Adisa"/>
    <n v="633000"/>
  </r>
  <r>
    <d v="2025-06-15T00:00:00"/>
    <x v="5"/>
    <s v="IKJ-03"/>
    <n v="2"/>
    <n v="13.7"/>
    <n v="63.4"/>
    <n v="2"/>
    <n v="6"/>
    <x v="7"/>
    <n v="6.85"/>
    <s v="Mr. Adeyemi"/>
    <n v="313000"/>
  </r>
  <r>
    <d v="2025-10-10T00:00:00"/>
    <x v="5"/>
    <s v="IKJ-01"/>
    <n v="2"/>
    <n v="11.8"/>
    <n v="78.099999999999994"/>
    <n v="1"/>
    <n v="10"/>
    <x v="9"/>
    <n v="5.9"/>
    <s v="Mr. Adeyemi"/>
    <n v="313000"/>
  </r>
  <r>
    <d v="2025-03-16T00:00:00"/>
    <x v="1"/>
    <s v="MSH-01"/>
    <n v="3"/>
    <n v="20.399999999999999"/>
    <n v="104.1"/>
    <n v="2"/>
    <n v="3"/>
    <x v="2"/>
    <n v="6.8"/>
    <s v="Mrs. Adisa"/>
    <n v="633000"/>
  </r>
  <r>
    <d v="2025-04-16T00:00:00"/>
    <x v="3"/>
    <s v="EPE-02"/>
    <n v="4"/>
    <n v="13.5"/>
    <n v="168.5"/>
    <n v="3"/>
    <n v="4"/>
    <x v="8"/>
    <n v="3.375"/>
    <s v="Mr. Ogunleye"/>
    <n v="181000"/>
  </r>
  <r>
    <d v="2025-09-02T00:00:00"/>
    <x v="1"/>
    <s v="MSH-03"/>
    <n v="4"/>
    <n v="25.1"/>
    <n v="153"/>
    <n v="0"/>
    <n v="9"/>
    <x v="10"/>
    <n v="6.2750000000000004"/>
    <s v="Mrs. Adisa"/>
    <n v="633000"/>
  </r>
  <r>
    <d v="2025-03-30T00:00:00"/>
    <x v="1"/>
    <s v="MSH-01"/>
    <n v="6"/>
    <n v="48"/>
    <n v="233.5"/>
    <n v="2"/>
    <n v="3"/>
    <x v="2"/>
    <n v="8"/>
    <s v="Mrs. Adisa"/>
    <n v="633000"/>
  </r>
  <r>
    <d v="2025-06-15T00:00:00"/>
    <x v="7"/>
    <s v="SRL-02"/>
    <n v="4"/>
    <n v="21.2"/>
    <n v="107.9"/>
    <n v="1"/>
    <n v="6"/>
    <x v="7"/>
    <n v="5.3"/>
    <s v="Mrs. Okafor"/>
    <n v="503000"/>
  </r>
  <r>
    <d v="2025-09-30T00:00:00"/>
    <x v="7"/>
    <s v="SRL-02"/>
    <n v="2"/>
    <n v="12.8"/>
    <n v="73.400000000000006"/>
    <n v="1"/>
    <n v="9"/>
    <x v="10"/>
    <n v="6.4"/>
    <s v="Mrs. Okafor"/>
    <n v="503000"/>
  </r>
  <r>
    <d v="2025-12-07T00:00:00"/>
    <x v="6"/>
    <s v="LKK-02"/>
    <n v="6"/>
    <n v="43.1"/>
    <n v="241.2"/>
    <n v="1"/>
    <n v="12"/>
    <x v="11"/>
    <n v="7.1833333333333336"/>
    <s v="Mr. Salami"/>
    <n v="200000"/>
  </r>
  <r>
    <d v="2025-12-18T00:00:00"/>
    <x v="3"/>
    <s v="EPE-01"/>
    <n v="5"/>
    <n v="28.1"/>
    <n v="187.7"/>
    <n v="4"/>
    <n v="12"/>
    <x v="11"/>
    <n v="5.62"/>
    <s v="Mr. Ogunleye"/>
    <n v="181000"/>
  </r>
  <r>
    <d v="2025-04-17T00:00:00"/>
    <x v="0"/>
    <s v="ALM-04"/>
    <n v="6"/>
    <n v="50.5"/>
    <n v="237.3"/>
    <n v="3"/>
    <n v="4"/>
    <x v="8"/>
    <n v="8.4166666666666661"/>
    <s v="Mr. Bello"/>
    <n v="1288000"/>
  </r>
  <r>
    <d v="2025-09-03T00:00:00"/>
    <x v="3"/>
    <s v="EPE-01"/>
    <n v="6"/>
    <n v="20.6"/>
    <n v="242.6"/>
    <n v="2"/>
    <n v="9"/>
    <x v="10"/>
    <n v="3.4333333333333336"/>
    <s v="Mr. Ogunleye"/>
    <n v="181000"/>
  </r>
  <r>
    <d v="2025-03-28T00:00:00"/>
    <x v="5"/>
    <s v="IKJ-01"/>
    <n v="4"/>
    <n v="25.9"/>
    <n v="142.19999999999999"/>
    <n v="2"/>
    <n v="3"/>
    <x v="2"/>
    <n v="6.4749999999999996"/>
    <s v="Mr. Adeyemi"/>
    <n v="313000"/>
  </r>
  <r>
    <d v="2025-01-15T00:00:00"/>
    <x v="6"/>
    <s v="LKK-02"/>
    <n v="6"/>
    <n v="33.799999999999997"/>
    <n v="221.5"/>
    <n v="3"/>
    <n v="1"/>
    <x v="0"/>
    <n v="5.6333333333333329"/>
    <s v="Mr. Salami"/>
    <n v="200000"/>
  </r>
  <r>
    <d v="2025-06-06T00:00:00"/>
    <x v="5"/>
    <s v="IKJ-02"/>
    <n v="6"/>
    <n v="38.299999999999997"/>
    <n v="221.4"/>
    <n v="1"/>
    <n v="6"/>
    <x v="7"/>
    <n v="6.3833333333333329"/>
    <s v="Mr. Adeyemi"/>
    <n v="313000"/>
  </r>
  <r>
    <d v="2025-06-29T00:00:00"/>
    <x v="3"/>
    <s v="EPE-01"/>
    <n v="6"/>
    <n v="21.8"/>
    <n v="264.5"/>
    <n v="3"/>
    <n v="6"/>
    <x v="7"/>
    <n v="3.6333333333333333"/>
    <s v="Mr. Ogunleye"/>
    <n v="181000"/>
  </r>
  <r>
    <d v="2025-10-03T00:00:00"/>
    <x v="0"/>
    <s v="ALM-03"/>
    <n v="6"/>
    <n v="43.6"/>
    <n v="212.8"/>
    <n v="2"/>
    <n v="10"/>
    <x v="9"/>
    <n v="7.2666666666666666"/>
    <s v="Mr. Bello"/>
    <n v="1288000"/>
  </r>
  <r>
    <d v="2025-04-25T00:00:00"/>
    <x v="6"/>
    <s v="LKK-01"/>
    <n v="3"/>
    <n v="16.899999999999999"/>
    <n v="129"/>
    <n v="1"/>
    <n v="4"/>
    <x v="8"/>
    <n v="5.6333333333333329"/>
    <s v="Mr. Salami"/>
    <n v="200000"/>
  </r>
  <r>
    <d v="2025-02-20T00:00:00"/>
    <x v="2"/>
    <s v="BDG-02"/>
    <n v="3"/>
    <n v="12.3"/>
    <n v="111.6"/>
    <n v="2"/>
    <n v="2"/>
    <x v="5"/>
    <n v="4.1000000000000005"/>
    <s v="Mrs. Johnson"/>
    <n v="241000"/>
  </r>
  <r>
    <d v="2025-07-07T00:00:00"/>
    <x v="2"/>
    <s v="BDG-02"/>
    <n v="3"/>
    <n v="12"/>
    <n v="106"/>
    <n v="4"/>
    <n v="7"/>
    <x v="1"/>
    <n v="4"/>
    <s v="Mrs. Johnson"/>
    <n v="241000"/>
  </r>
  <r>
    <d v="2025-07-13T00:00:00"/>
    <x v="4"/>
    <s v="IKD-02"/>
    <n v="3"/>
    <n v="11.6"/>
    <n v="115.1"/>
    <n v="2"/>
    <n v="7"/>
    <x v="1"/>
    <n v="3.8666666666666667"/>
    <s v="Mrs. Eze"/>
    <n v="535000"/>
  </r>
  <r>
    <d v="2025-02-01T00:00:00"/>
    <x v="3"/>
    <s v="EPE-02"/>
    <n v="2"/>
    <n v="7.5"/>
    <n v="75.5"/>
    <n v="0"/>
    <n v="2"/>
    <x v="5"/>
    <n v="3.75"/>
    <s v="Mr. Ogunleye"/>
    <n v="181000"/>
  </r>
  <r>
    <d v="2025-09-09T00:00:00"/>
    <x v="4"/>
    <s v="IKD-03"/>
    <n v="5"/>
    <n v="19.8"/>
    <n v="209.5"/>
    <n v="5"/>
    <n v="9"/>
    <x v="10"/>
    <n v="3.96"/>
    <s v="Mrs. Eze"/>
    <n v="535000"/>
  </r>
  <r>
    <d v="2025-01-13T00:00:00"/>
    <x v="5"/>
    <s v="IKJ-03"/>
    <n v="3"/>
    <n v="21.3"/>
    <n v="121.4"/>
    <n v="1"/>
    <n v="1"/>
    <x v="0"/>
    <n v="7.1000000000000005"/>
    <s v="Mr. Adeyemi"/>
    <n v="313000"/>
  </r>
  <r>
    <d v="2025-11-24T00:00:00"/>
    <x v="0"/>
    <s v="ALM-04"/>
    <n v="4"/>
    <n v="34.1"/>
    <n v="144.30000000000001"/>
    <n v="0"/>
    <n v="11"/>
    <x v="4"/>
    <n v="8.5250000000000004"/>
    <s v="Mr. Bello"/>
    <n v="1288000"/>
  </r>
  <r>
    <d v="2025-06-05T00:00:00"/>
    <x v="5"/>
    <s v="IKJ-03"/>
    <n v="3"/>
    <n v="20.7"/>
    <n v="96.2"/>
    <n v="0"/>
    <n v="6"/>
    <x v="7"/>
    <n v="6.8999999999999995"/>
    <s v="Mr. Adeyemi"/>
    <n v="313000"/>
  </r>
  <r>
    <d v="2025-11-24T00:00:00"/>
    <x v="6"/>
    <s v="LKK-02"/>
    <n v="2"/>
    <n v="11.8"/>
    <n v="65.2"/>
    <n v="0"/>
    <n v="11"/>
    <x v="4"/>
    <n v="5.9"/>
    <s v="Mr. Salami"/>
    <n v="200000"/>
  </r>
  <r>
    <d v="2025-07-16T00:00:00"/>
    <x v="4"/>
    <s v="IKD-02"/>
    <n v="3"/>
    <n v="13"/>
    <n v="122.8"/>
    <n v="0"/>
    <n v="7"/>
    <x v="1"/>
    <n v="4.333333333333333"/>
    <s v="Mrs. Eze"/>
    <n v="535000"/>
  </r>
  <r>
    <d v="2025-10-30T00:00:00"/>
    <x v="1"/>
    <s v="MSH-01"/>
    <n v="2"/>
    <n v="13.7"/>
    <n v="74.3"/>
    <n v="1"/>
    <n v="10"/>
    <x v="9"/>
    <n v="6.85"/>
    <s v="Mrs. Adisa"/>
    <n v="633000"/>
  </r>
  <r>
    <d v="2025-01-02T00:00:00"/>
    <x v="5"/>
    <s v="IKJ-01"/>
    <n v="2"/>
    <n v="9.9"/>
    <n v="63"/>
    <n v="0"/>
    <n v="1"/>
    <x v="0"/>
    <n v="4.95"/>
    <s v="Mr. Adeyemi"/>
    <n v="313000"/>
  </r>
  <r>
    <d v="2025-04-30T00:00:00"/>
    <x v="1"/>
    <s v="MSH-03"/>
    <n v="6"/>
    <n v="41.4"/>
    <m/>
    <n v="4"/>
    <n v="4"/>
    <x v="8"/>
    <n v="6.8999999999999995"/>
    <s v="Mrs. Adisa"/>
    <n v="633000"/>
  </r>
  <r>
    <d v="2025-07-13T00:00:00"/>
    <x v="6"/>
    <s v="LKK-01"/>
    <n v="4"/>
    <n v="21.4"/>
    <n v="178.2"/>
    <n v="3"/>
    <n v="7"/>
    <x v="1"/>
    <n v="5.35"/>
    <s v="Mr. Salami"/>
    <n v="200000"/>
  </r>
  <r>
    <d v="2025-11-20T00:00:00"/>
    <x v="7"/>
    <s v="SRL-01"/>
    <n v="4"/>
    <n v="26.2"/>
    <n v="157.19999999999999"/>
    <n v="2"/>
    <n v="11"/>
    <x v="4"/>
    <n v="6.55"/>
    <s v="Mrs. Okafor"/>
    <n v="503000"/>
  </r>
  <r>
    <d v="2025-09-19T00:00:00"/>
    <x v="2"/>
    <s v="BDG-01"/>
    <n v="6"/>
    <n v="21.5"/>
    <n v="246.8"/>
    <n v="0"/>
    <n v="9"/>
    <x v="10"/>
    <n v="3.5833333333333335"/>
    <s v="Mrs. Johnson"/>
    <n v="241000"/>
  </r>
  <r>
    <d v="2025-08-06T00:00:00"/>
    <x v="4"/>
    <s v="IKD-01"/>
    <n v="5"/>
    <n v="15.6"/>
    <n v="215.5"/>
    <n v="2"/>
    <n v="8"/>
    <x v="6"/>
    <n v="3.12"/>
    <s v="Mrs. Eze"/>
    <n v="535000"/>
  </r>
  <r>
    <d v="2025-07-22T00:00:00"/>
    <x v="5"/>
    <s v="IKJ-01"/>
    <n v="6"/>
    <n v="41.8"/>
    <n v="226.5"/>
    <n v="1"/>
    <n v="7"/>
    <x v="1"/>
    <n v="6.9666666666666659"/>
    <s v="Mr. Adeyemi"/>
    <n v="313000"/>
  </r>
  <r>
    <d v="2025-08-03T00:00:00"/>
    <x v="4"/>
    <s v="IKD-03"/>
    <n v="2"/>
    <n v="8.1"/>
    <n v="89.1"/>
    <n v="3"/>
    <n v="8"/>
    <x v="6"/>
    <n v="4.05"/>
    <s v="Mrs. Eze"/>
    <n v="535000"/>
  </r>
  <r>
    <d v="2025-07-13T00:00:00"/>
    <x v="0"/>
    <s v="ALM-04"/>
    <n v="2"/>
    <n v="14.5"/>
    <n v="83.8"/>
    <n v="0"/>
    <n v="7"/>
    <x v="1"/>
    <n v="7.25"/>
    <s v="Mr. Bello"/>
    <n v="1288000"/>
  </r>
  <r>
    <d v="2025-02-27T00:00:00"/>
    <x v="0"/>
    <s v="ALM-01"/>
    <n v="2"/>
    <n v="13.6"/>
    <n v="72.900000000000006"/>
    <n v="3"/>
    <n v="2"/>
    <x v="5"/>
    <n v="6.8"/>
    <s v="Mr. Bello"/>
    <n v="1288000"/>
  </r>
  <r>
    <d v="2025-05-06T00:00:00"/>
    <x v="2"/>
    <s v="BDG-01"/>
    <n v="4"/>
    <n v="12.7"/>
    <n v="151.6"/>
    <n v="3"/>
    <n v="5"/>
    <x v="3"/>
    <n v="3.1749999999999998"/>
    <s v="Mrs. Johnson"/>
    <n v="241000"/>
  </r>
  <r>
    <d v="2025-07-09T00:00:00"/>
    <x v="2"/>
    <s v="BDG-01"/>
    <n v="4"/>
    <n v="12.2"/>
    <n v="180.2"/>
    <n v="2"/>
    <n v="7"/>
    <x v="1"/>
    <n v="3.05"/>
    <s v="Mrs. Johnson"/>
    <n v="241000"/>
  </r>
  <r>
    <d v="2025-09-29T00:00:00"/>
    <x v="6"/>
    <s v="LKK-01"/>
    <n v="3"/>
    <n v="18.399999999999999"/>
    <n v="113.8"/>
    <n v="2"/>
    <n v="9"/>
    <x v="10"/>
    <n v="6.1333333333333329"/>
    <s v="Mr. Salami"/>
    <n v="200000"/>
  </r>
  <r>
    <d v="2025-07-06T00:00:00"/>
    <x v="4"/>
    <s v="IKD-01"/>
    <n v="2"/>
    <n v="6.9"/>
    <n v="79.900000000000006"/>
    <n v="3"/>
    <n v="7"/>
    <x v="1"/>
    <n v="3.45"/>
    <s v="Mrs. Eze"/>
    <n v="535000"/>
  </r>
  <r>
    <d v="2025-12-21T00:00:00"/>
    <x v="5"/>
    <s v="IKJ-03"/>
    <n v="4"/>
    <n v="32.1"/>
    <n v="145"/>
    <n v="1"/>
    <n v="12"/>
    <x v="11"/>
    <n v="8.0250000000000004"/>
    <s v="Mr. Adeyemi"/>
    <n v="313000"/>
  </r>
  <r>
    <d v="2025-11-25T00:00:00"/>
    <x v="7"/>
    <s v="SRL-01"/>
    <n v="4"/>
    <n v="25.9"/>
    <n v="175.6"/>
    <n v="2"/>
    <n v="11"/>
    <x v="4"/>
    <n v="6.4749999999999996"/>
    <s v="Mrs. Okafor"/>
    <n v="503000"/>
  </r>
  <r>
    <d v="2025-07-28T00:00:00"/>
    <x v="5"/>
    <s v="IKJ-02"/>
    <n v="4"/>
    <n v="26.1"/>
    <n v="153.4"/>
    <n v="2"/>
    <n v="7"/>
    <x v="1"/>
    <n v="6.5250000000000004"/>
    <s v="Mr. Adeyemi"/>
    <n v="313000"/>
  </r>
  <r>
    <d v="2025-11-26T00:00:00"/>
    <x v="4"/>
    <s v="IKD-02"/>
    <n v="2"/>
    <n v="7.3"/>
    <n v="80.3"/>
    <n v="3"/>
    <n v="11"/>
    <x v="4"/>
    <n v="3.65"/>
    <s v="Mrs. Eze"/>
    <n v="535000"/>
  </r>
  <r>
    <d v="2025-03-05T00:00:00"/>
    <x v="1"/>
    <s v="MSH-01"/>
    <n v="6"/>
    <n v="37.200000000000003"/>
    <n v="228.9"/>
    <n v="1"/>
    <n v="3"/>
    <x v="2"/>
    <n v="6.2"/>
    <s v="Mrs. Adisa"/>
    <n v="633000"/>
  </r>
  <r>
    <d v="2025-07-13T00:00:00"/>
    <x v="5"/>
    <s v="IKJ-03"/>
    <n v="3"/>
    <n v="20.2"/>
    <n v="124"/>
    <n v="0"/>
    <n v="7"/>
    <x v="1"/>
    <n v="6.7333333333333334"/>
    <s v="Mr. Adeyemi"/>
    <n v="313000"/>
  </r>
  <r>
    <d v="2025-04-21T00:00:00"/>
    <x v="1"/>
    <s v="MSH-01"/>
    <n v="2"/>
    <n v="13.8"/>
    <n v="83.4"/>
    <m/>
    <n v="4"/>
    <x v="8"/>
    <n v="6.9"/>
    <s v="Mrs. Adisa"/>
    <n v="633000"/>
  </r>
  <r>
    <d v="2025-04-15T00:00:00"/>
    <x v="6"/>
    <s v="LKK-01"/>
    <n v="4"/>
    <n v="24.9"/>
    <n v="137"/>
    <n v="1"/>
    <n v="4"/>
    <x v="8"/>
    <n v="6.2249999999999996"/>
    <s v="Mr. Salami"/>
    <n v="200000"/>
  </r>
  <r>
    <d v="2025-07-17T00:00:00"/>
    <x v="2"/>
    <s v="BDG-02"/>
    <n v="4"/>
    <n v="14.5"/>
    <n v="108.4"/>
    <n v="2"/>
    <n v="7"/>
    <x v="1"/>
    <n v="3.625"/>
    <s v="Mrs. Johnson"/>
    <n v="241000"/>
  </r>
  <r>
    <d v="2025-05-01T00:00:00"/>
    <x v="2"/>
    <s v="BDG-01"/>
    <n v="2"/>
    <n v="6.6"/>
    <n v="71.2"/>
    <n v="5"/>
    <n v="5"/>
    <x v="3"/>
    <n v="3.3"/>
    <s v="Mrs. Johnson"/>
    <n v="241000"/>
  </r>
  <r>
    <d v="2025-09-14T00:00:00"/>
    <x v="5"/>
    <s v="IKJ-03"/>
    <n v="4"/>
    <n v="24"/>
    <n v="176.3"/>
    <n v="1"/>
    <n v="9"/>
    <x v="10"/>
    <n v="6"/>
    <s v="Mr. Adeyemi"/>
    <n v="313000"/>
  </r>
  <r>
    <d v="2025-06-28T00:00:00"/>
    <x v="4"/>
    <s v="IKD-02"/>
    <n v="3"/>
    <m/>
    <n v="100.6"/>
    <n v="4"/>
    <n v="6"/>
    <x v="7"/>
    <m/>
    <s v="Mrs. Eze"/>
    <n v="535000"/>
  </r>
  <r>
    <d v="2025-09-26T00:00:00"/>
    <x v="3"/>
    <s v="EPE-02"/>
    <n v="3"/>
    <n v="10.5"/>
    <n v="90.5"/>
    <n v="7"/>
    <n v="9"/>
    <x v="10"/>
    <n v="3.5"/>
    <s v="Mr. Ogunleye"/>
    <n v="181000"/>
  </r>
  <r>
    <d v="2025-12-27T00:00:00"/>
    <x v="5"/>
    <s v="IKJ-01"/>
    <n v="3"/>
    <n v="26"/>
    <n v="114"/>
    <n v="0"/>
    <n v="12"/>
    <x v="11"/>
    <n v="8.6666666666666661"/>
    <s v="Mr. Adeyemi"/>
    <n v="313000"/>
  </r>
  <r>
    <d v="2025-10-07T00:00:00"/>
    <x v="3"/>
    <s v="EPE-01"/>
    <n v="6"/>
    <n v="21.7"/>
    <n v="154.80000000000001"/>
    <n v="0"/>
    <n v="10"/>
    <x v="9"/>
    <n v="3.6166666666666667"/>
    <s v="Mr. Ogunleye"/>
    <n v="181000"/>
  </r>
  <r>
    <d v="2025-09-05T00:00:00"/>
    <x v="5"/>
    <s v="IKJ-03"/>
    <n v="5"/>
    <n v="31.5"/>
    <n v="151.6"/>
    <n v="2"/>
    <n v="9"/>
    <x v="10"/>
    <n v="6.3"/>
    <s v="Mr. Adeyemi"/>
    <n v="313000"/>
  </r>
  <r>
    <d v="2025-12-03T00:00:00"/>
    <x v="4"/>
    <s v="IKD-02"/>
    <n v="3"/>
    <n v="14"/>
    <n v="105.5"/>
    <n v="3"/>
    <n v="12"/>
    <x v="11"/>
    <n v="4.666666666666667"/>
    <s v="Mrs. Eze"/>
    <n v="535000"/>
  </r>
  <r>
    <d v="2025-12-06T00:00:00"/>
    <x v="0"/>
    <s v="ALM-03"/>
    <n v="6"/>
    <n v="48.1"/>
    <n v="244.3"/>
    <n v="3"/>
    <n v="12"/>
    <x v="11"/>
    <n v="8.0166666666666675"/>
    <s v="Mr. Bello"/>
    <n v="1288000"/>
  </r>
  <r>
    <d v="2025-08-04T00:00:00"/>
    <x v="1"/>
    <s v="MSH-02"/>
    <n v="2"/>
    <n v="14.3"/>
    <n v="82.4"/>
    <n v="2"/>
    <n v="8"/>
    <x v="6"/>
    <n v="7.15"/>
    <s v="Mrs. Adisa"/>
    <n v="633000"/>
  </r>
  <r>
    <d v="2025-11-01T00:00:00"/>
    <x v="7"/>
    <s v="SRL-01"/>
    <n v="4"/>
    <n v="27.3"/>
    <n v="142.30000000000001"/>
    <n v="2"/>
    <n v="11"/>
    <x v="4"/>
    <n v="6.8250000000000002"/>
    <s v="Mrs. Okafor"/>
    <n v="503000"/>
  </r>
  <r>
    <d v="2025-03-07T00:00:00"/>
    <x v="1"/>
    <s v="MSH-02"/>
    <n v="3"/>
    <n v="17.7"/>
    <n v="100.6"/>
    <n v="3"/>
    <n v="3"/>
    <x v="2"/>
    <n v="5.8999999999999995"/>
    <s v="Mrs. Adisa"/>
    <n v="633000"/>
  </r>
  <r>
    <d v="2025-07-05T00:00:00"/>
    <x v="7"/>
    <s v="SRL-01"/>
    <n v="3"/>
    <n v="17.399999999999999"/>
    <n v="92.3"/>
    <n v="2"/>
    <n v="7"/>
    <x v="1"/>
    <n v="5.8"/>
    <s v="Mrs. Okafor"/>
    <n v="503000"/>
  </r>
  <r>
    <d v="2025-08-29T00:00:00"/>
    <x v="3"/>
    <s v="EPE-02"/>
    <n v="2"/>
    <n v="6"/>
    <n v="65.400000000000006"/>
    <n v="2"/>
    <n v="8"/>
    <x v="6"/>
    <n v="3"/>
    <s v="Mr. Ogunleye"/>
    <n v="181000"/>
  </r>
  <r>
    <d v="2025-09-23T00:00:00"/>
    <x v="4"/>
    <s v="IKD-03"/>
    <n v="5"/>
    <n v="19.600000000000001"/>
    <n v="210"/>
    <n v="3"/>
    <n v="9"/>
    <x v="10"/>
    <n v="3.9200000000000004"/>
    <s v="Mrs. Eze"/>
    <n v="535000"/>
  </r>
  <r>
    <d v="2025-08-16T00:00:00"/>
    <x v="0"/>
    <s v="ALM-04"/>
    <n v="4"/>
    <n v="32.700000000000003"/>
    <n v="128.6"/>
    <n v="1"/>
    <n v="8"/>
    <x v="6"/>
    <n v="8.1750000000000007"/>
    <s v="Mr. Bello"/>
    <n v="1288000"/>
  </r>
  <r>
    <d v="2025-01-29T00:00:00"/>
    <x v="3"/>
    <s v="EPE-01"/>
    <n v="6"/>
    <n v="17"/>
    <n v="230.5"/>
    <n v="3"/>
    <n v="1"/>
    <x v="0"/>
    <n v="2.8333333333333335"/>
    <s v="Mr. Ogunleye"/>
    <n v="181000"/>
  </r>
  <r>
    <d v="2025-05-23T00:00:00"/>
    <x v="7"/>
    <s v="SRL-01"/>
    <n v="3"/>
    <n v="22.1"/>
    <n v="124.8"/>
    <n v="0"/>
    <n v="5"/>
    <x v="3"/>
    <n v="7.3666666666666671"/>
    <s v="Mrs. Okafor"/>
    <n v="503000"/>
  </r>
  <r>
    <d v="2025-04-27T00:00:00"/>
    <x v="7"/>
    <s v="SRL-03"/>
    <n v="4"/>
    <n v="25.3"/>
    <n v="177"/>
    <n v="1"/>
    <n v="4"/>
    <x v="8"/>
    <n v="6.3250000000000002"/>
    <s v="Mrs. Okafor"/>
    <n v="503000"/>
  </r>
  <r>
    <d v="2025-12-31T00:00:00"/>
    <x v="4"/>
    <s v="IKD-03"/>
    <n v="4"/>
    <n v="21"/>
    <n v="159.1"/>
    <n v="2"/>
    <n v="12"/>
    <x v="11"/>
    <n v="5.25"/>
    <s v="Mrs. Eze"/>
    <n v="535000"/>
  </r>
  <r>
    <d v="2025-03-13T00:00:00"/>
    <x v="4"/>
    <s v="IKD-01"/>
    <n v="2"/>
    <n v="8.3000000000000007"/>
    <n v="86.4"/>
    <n v="2"/>
    <n v="3"/>
    <x v="2"/>
    <n v="4.1500000000000004"/>
    <s v="Mrs. Eze"/>
    <n v="535000"/>
  </r>
  <r>
    <d v="2025-11-07T00:00:00"/>
    <x v="7"/>
    <s v="SRL-01"/>
    <n v="5"/>
    <n v="30.4"/>
    <n v="158.1"/>
    <n v="0"/>
    <n v="11"/>
    <x v="4"/>
    <n v="6.08"/>
    <s v="Mrs. Okafor"/>
    <n v="503000"/>
  </r>
  <r>
    <d v="2025-01-17T00:00:00"/>
    <x v="6"/>
    <s v="LKK-01"/>
    <n v="3"/>
    <n v="13.7"/>
    <n v="116.6"/>
    <n v="4"/>
    <n v="1"/>
    <x v="0"/>
    <n v="4.5666666666666664"/>
    <s v="Mr. Salami"/>
    <n v="200000"/>
  </r>
  <r>
    <d v="2025-12-05T00:00:00"/>
    <x v="7"/>
    <s v="SRL-01"/>
    <n v="3"/>
    <n v="18.3"/>
    <n v="142.4"/>
    <n v="0"/>
    <n v="12"/>
    <x v="11"/>
    <n v="6.1000000000000005"/>
    <s v="Mrs. Okafor"/>
    <n v="503000"/>
  </r>
  <r>
    <d v="2025-09-04T00:00:00"/>
    <x v="6"/>
    <s v="LKK-01"/>
    <n v="3"/>
    <n v="18"/>
    <n v="123.9"/>
    <n v="2"/>
    <n v="9"/>
    <x v="10"/>
    <n v="6"/>
    <s v="Mr. Salami"/>
    <n v="200000"/>
  </r>
  <r>
    <d v="2025-04-01T00:00:00"/>
    <x v="0"/>
    <s v="ALM-01"/>
    <n v="6"/>
    <n v="39.6"/>
    <n v="230.4"/>
    <n v="1"/>
    <n v="4"/>
    <x v="8"/>
    <n v="6.6000000000000005"/>
    <s v="Mr. Bello"/>
    <n v="1288000"/>
  </r>
  <r>
    <d v="2025-09-11T00:00:00"/>
    <x v="0"/>
    <s v="ALM-03"/>
    <n v="5"/>
    <n v="34.1"/>
    <n v="203.4"/>
    <n v="1"/>
    <n v="9"/>
    <x v="10"/>
    <n v="6.82"/>
    <s v="Mr. Bello"/>
    <n v="1288000"/>
  </r>
  <r>
    <d v="2025-03-20T00:00:00"/>
    <x v="2"/>
    <s v="BDG-01"/>
    <n v="4"/>
    <n v="17"/>
    <n v="114.4"/>
    <n v="2"/>
    <n v="3"/>
    <x v="2"/>
    <n v="4.25"/>
    <s v="Mrs. Johnson"/>
    <n v="241000"/>
  </r>
  <r>
    <d v="2025-06-27T00:00:00"/>
    <x v="5"/>
    <s v="IKJ-01"/>
    <n v="4"/>
    <n v="22"/>
    <n v="151.1"/>
    <n v="1"/>
    <n v="6"/>
    <x v="7"/>
    <n v="5.5"/>
    <s v="Mr. Adeyemi"/>
    <n v="313000"/>
  </r>
  <r>
    <d v="2025-10-08T00:00:00"/>
    <x v="4"/>
    <s v="IKD-01"/>
    <n v="5"/>
    <n v="22"/>
    <n v="212.3"/>
    <n v="4"/>
    <n v="10"/>
    <x v="9"/>
    <n v="4.4000000000000004"/>
    <s v="Mrs. Eze"/>
    <n v="535000"/>
  </r>
  <r>
    <d v="2025-07-08T00:00:00"/>
    <x v="4"/>
    <s v="IKD-01"/>
    <n v="3"/>
    <n v="11.9"/>
    <n v="85.7"/>
    <n v="2"/>
    <n v="7"/>
    <x v="1"/>
    <n v="3.9666666666666668"/>
    <s v="Mrs. Eze"/>
    <n v="535000"/>
  </r>
  <r>
    <d v="2025-06-05T00:00:00"/>
    <x v="4"/>
    <s v="IKD-01"/>
    <n v="6"/>
    <n v="26.3"/>
    <n v="231.3"/>
    <n v="2"/>
    <n v="6"/>
    <x v="7"/>
    <n v="4.3833333333333337"/>
    <s v="Mrs. Eze"/>
    <n v="535000"/>
  </r>
  <r>
    <d v="2025-06-27T00:00:00"/>
    <x v="7"/>
    <s v="SRL-02"/>
    <n v="6"/>
    <n v="30.3"/>
    <n v="238"/>
    <n v="1"/>
    <n v="6"/>
    <x v="7"/>
    <n v="5.05"/>
    <s v="Mrs. Okafor"/>
    <n v="503000"/>
  </r>
  <r>
    <d v="2025-09-01T00:00:00"/>
    <x v="2"/>
    <s v="BDG-01"/>
    <n v="2"/>
    <n v="7.5"/>
    <n v="72.599999999999994"/>
    <n v="3"/>
    <n v="9"/>
    <x v="10"/>
    <n v="3.75"/>
    <s v="Mrs. Johnson"/>
    <n v="241000"/>
  </r>
  <r>
    <d v="2025-02-28T00:00:00"/>
    <x v="3"/>
    <s v="EPE-02"/>
    <n v="2"/>
    <n v="6.8"/>
    <n v="80.8"/>
    <n v="3"/>
    <n v="2"/>
    <x v="5"/>
    <n v="3.4"/>
    <s v="Mr. Ogunleye"/>
    <n v="181000"/>
  </r>
  <r>
    <d v="2025-06-21T00:00:00"/>
    <x v="5"/>
    <s v="IKJ-01"/>
    <n v="6"/>
    <n v="40.700000000000003"/>
    <n v="260.7"/>
    <n v="2"/>
    <n v="6"/>
    <x v="7"/>
    <n v="6.7833333333333341"/>
    <s v="Mr. Adeyemi"/>
    <n v="313000"/>
  </r>
  <r>
    <d v="2025-03-03T00:00:00"/>
    <x v="6"/>
    <s v="LKK-01"/>
    <n v="5"/>
    <n v="25.3"/>
    <n v="183.4"/>
    <n v="2"/>
    <n v="3"/>
    <x v="2"/>
    <n v="5.0600000000000005"/>
    <s v="Mr. Salami"/>
    <n v="200000"/>
  </r>
  <r>
    <d v="2025-08-24T00:00:00"/>
    <x v="5"/>
    <s v="IKJ-01"/>
    <n v="4"/>
    <n v="30.3"/>
    <n v="174"/>
    <n v="0"/>
    <n v="8"/>
    <x v="6"/>
    <n v="7.5750000000000002"/>
    <s v="Mr. Adeyemi"/>
    <n v="313000"/>
  </r>
  <r>
    <d v="2025-07-12T00:00:00"/>
    <x v="2"/>
    <s v="BDG-01"/>
    <n v="4"/>
    <n v="15.7"/>
    <n v="177.2"/>
    <n v="2"/>
    <n v="7"/>
    <x v="1"/>
    <n v="3.9249999999999998"/>
    <s v="Mrs. Johnson"/>
    <n v="241000"/>
  </r>
  <r>
    <d v="2025-08-22T00:00:00"/>
    <x v="7"/>
    <s v="SRL-01"/>
    <n v="2"/>
    <n v="11.3"/>
    <n v="74.400000000000006"/>
    <n v="1"/>
    <n v="8"/>
    <x v="6"/>
    <n v="5.65"/>
    <s v="Mrs. Okafor"/>
    <n v="503000"/>
  </r>
  <r>
    <d v="2025-04-07T00:00:00"/>
    <x v="0"/>
    <s v="ALM-02"/>
    <n v="3"/>
    <n v="16.399999999999999"/>
    <n v="102.6"/>
    <n v="2"/>
    <n v="4"/>
    <x v="8"/>
    <n v="5.4666666666666659"/>
    <s v="Mr. Bello"/>
    <n v="1288000"/>
  </r>
  <r>
    <d v="2025-02-24T00:00:00"/>
    <x v="2"/>
    <s v="BDG-01"/>
    <n v="3"/>
    <n v="10.5"/>
    <n v="120.8"/>
    <n v="1"/>
    <n v="2"/>
    <x v="5"/>
    <n v="3.5"/>
    <s v="Mrs. Johnson"/>
    <n v="241000"/>
  </r>
  <r>
    <d v="2025-03-11T00:00:00"/>
    <x v="5"/>
    <s v="IKJ-01"/>
    <n v="5"/>
    <n v="29"/>
    <n v="188.1"/>
    <n v="2"/>
    <n v="3"/>
    <x v="2"/>
    <n v="5.8"/>
    <s v="Mr. Adeyemi"/>
    <n v="313000"/>
  </r>
  <r>
    <d v="2025-02-26T00:00:00"/>
    <x v="0"/>
    <s v="ALM-02"/>
    <n v="6"/>
    <n v="49.4"/>
    <n v="309.3"/>
    <n v="1"/>
    <n v="2"/>
    <x v="5"/>
    <n v="8.2333333333333325"/>
    <s v="Mr. Bello"/>
    <n v="1288000"/>
  </r>
  <r>
    <d v="2025-08-03T00:00:00"/>
    <x v="0"/>
    <s v="ALM-04"/>
    <n v="3"/>
    <n v="20.2"/>
    <m/>
    <n v="1"/>
    <n v="8"/>
    <x v="6"/>
    <n v="6.7333333333333334"/>
    <s v="Mr. Bello"/>
    <n v="1288000"/>
  </r>
  <r>
    <d v="2025-10-07T00:00:00"/>
    <x v="5"/>
    <s v="IKJ-02"/>
    <n v="4"/>
    <n v="29.2"/>
    <n v="166.2"/>
    <n v="1"/>
    <n v="10"/>
    <x v="9"/>
    <n v="7.3"/>
    <s v="Mr. Adeyemi"/>
    <n v="313000"/>
  </r>
  <r>
    <d v="2025-09-18T00:00:00"/>
    <x v="5"/>
    <s v="IKJ-02"/>
    <n v="2"/>
    <n v="12"/>
    <n v="85.4"/>
    <n v="0"/>
    <n v="9"/>
    <x v="10"/>
    <n v="6"/>
    <s v="Mr. Adeyemi"/>
    <n v="313000"/>
  </r>
  <r>
    <d v="2025-09-11T00:00:00"/>
    <x v="2"/>
    <s v="BDG-02"/>
    <n v="5"/>
    <n v="17.399999999999999"/>
    <m/>
    <n v="2"/>
    <n v="9"/>
    <x v="10"/>
    <n v="3.4799999999999995"/>
    <s v="Mrs. Johnson"/>
    <n v="241000"/>
  </r>
  <r>
    <d v="2025-03-13T00:00:00"/>
    <x v="1"/>
    <s v="MSH-01"/>
    <n v="4"/>
    <n v="31.2"/>
    <n v="136.9"/>
    <n v="0"/>
    <n v="3"/>
    <x v="2"/>
    <n v="7.8"/>
    <s v="Mrs. Adisa"/>
    <n v="633000"/>
  </r>
  <r>
    <d v="2025-02-12T00:00:00"/>
    <x v="5"/>
    <s v="IKJ-02"/>
    <n v="2"/>
    <n v="9"/>
    <n v="83"/>
    <n v="1"/>
    <n v="2"/>
    <x v="5"/>
    <n v="4.5"/>
    <s v="Mr. Adeyemi"/>
    <n v="313000"/>
  </r>
  <r>
    <d v="2025-01-02T00:00:00"/>
    <x v="0"/>
    <s v="ALM-02"/>
    <n v="5"/>
    <n v="40.700000000000003"/>
    <n v="176.5"/>
    <n v="1"/>
    <n v="1"/>
    <x v="0"/>
    <n v="8.14"/>
    <s v="Mr. Bello"/>
    <n v="1288000"/>
  </r>
  <r>
    <d v="2025-01-26T00:00:00"/>
    <x v="7"/>
    <s v="SRL-02"/>
    <n v="6"/>
    <n v="38.4"/>
    <n v="175.1"/>
    <n v="2"/>
    <n v="1"/>
    <x v="0"/>
    <n v="6.3999999999999995"/>
    <s v="Mrs. Okafor"/>
    <n v="503000"/>
  </r>
  <r>
    <d v="2025-04-14T00:00:00"/>
    <x v="5"/>
    <s v="IKJ-02"/>
    <n v="4"/>
    <n v="26.9"/>
    <n v="163.80000000000001"/>
    <n v="1"/>
    <n v="4"/>
    <x v="8"/>
    <n v="6.7249999999999996"/>
    <s v="Mr. Adeyemi"/>
    <n v="313000"/>
  </r>
  <r>
    <d v="2025-06-26T00:00:00"/>
    <x v="2"/>
    <s v=""/>
    <n v="5"/>
    <n v="18.5"/>
    <n v="184.6"/>
    <n v="0"/>
    <n v="6"/>
    <x v="7"/>
    <n v="3.7"/>
    <s v="Mrs. Johnson"/>
    <n v="241000"/>
  </r>
  <r>
    <d v="2025-11-06T00:00:00"/>
    <x v="4"/>
    <s v="IKD-02"/>
    <n v="2"/>
    <n v="7.4"/>
    <n v="72.5"/>
    <n v="4"/>
    <n v="11"/>
    <x v="4"/>
    <n v="3.7"/>
    <s v="Mrs. Eze"/>
    <n v="535000"/>
  </r>
  <r>
    <d v="2025-04-06T00:00:00"/>
    <x v="7"/>
    <s v="SRL-02"/>
    <n v="3"/>
    <n v="19"/>
    <n v="132.30000000000001"/>
    <n v="2"/>
    <n v="4"/>
    <x v="8"/>
    <n v="6.333333333333333"/>
    <s v="Mrs. Okafor"/>
    <n v="503000"/>
  </r>
  <r>
    <d v="2025-04-12T00:00:00"/>
    <x v="4"/>
    <s v="IKD-03"/>
    <n v="2"/>
    <n v="8.4"/>
    <n v="61.5"/>
    <n v="8"/>
    <n v="4"/>
    <x v="8"/>
    <n v="4.2"/>
    <s v="Mrs. Eze"/>
    <n v="535000"/>
  </r>
  <r>
    <d v="2025-03-24T00:00:00"/>
    <x v="4"/>
    <s v="IKD-02"/>
    <n v="4"/>
    <n v="18.3"/>
    <n v="152.6"/>
    <n v="2"/>
    <n v="3"/>
    <x v="2"/>
    <n v="4.5750000000000002"/>
    <s v="Mrs. Eze"/>
    <n v="535000"/>
  </r>
  <r>
    <d v="2025-05-14T00:00:00"/>
    <x v="4"/>
    <s v="IKD-01"/>
    <n v="4"/>
    <n v="14.9"/>
    <n v="188.2"/>
    <n v="4"/>
    <n v="5"/>
    <x v="3"/>
    <n v="3.7250000000000001"/>
    <s v="Mrs. Eze"/>
    <n v="535000"/>
  </r>
  <r>
    <d v="2025-06-25T00:00:00"/>
    <x v="5"/>
    <s v="IKJ-03"/>
    <n v="2"/>
    <n v="12.8"/>
    <n v="57.1"/>
    <n v="0"/>
    <n v="6"/>
    <x v="7"/>
    <n v="6.4"/>
    <s v="Mr. Adeyemi"/>
    <n v="313000"/>
  </r>
  <r>
    <d v="2025-03-04T00:00:00"/>
    <x v="0"/>
    <s v="ALM-01"/>
    <n v="5"/>
    <n v="41.2"/>
    <n v="179.3"/>
    <n v="1"/>
    <n v="3"/>
    <x v="2"/>
    <n v="8.24"/>
    <s v="Mr. Bello"/>
    <n v="1288000"/>
  </r>
  <r>
    <d v="2025-09-02T00:00:00"/>
    <x v="6"/>
    <s v="LKK-01"/>
    <n v="6"/>
    <n v="34.5"/>
    <n v="208"/>
    <n v="2"/>
    <n v="9"/>
    <x v="10"/>
    <n v="5.75"/>
    <s v="Mr. Salami"/>
    <n v="200000"/>
  </r>
  <r>
    <d v="2025-09-30T00:00:00"/>
    <x v="3"/>
    <s v="EPE-01"/>
    <n v="5"/>
    <n v="18.5"/>
    <n v="184.3"/>
    <n v="1"/>
    <n v="9"/>
    <x v="10"/>
    <n v="3.7"/>
    <s v="Mr. Ogunleye"/>
    <n v="181000"/>
  </r>
  <r>
    <d v="2025-06-02T00:00:00"/>
    <x v="5"/>
    <s v="IKJ-01"/>
    <n v="4"/>
    <n v="25.4"/>
    <n v="155.9"/>
    <n v="1"/>
    <n v="6"/>
    <x v="7"/>
    <n v="6.35"/>
    <s v="Mr. Adeyemi"/>
    <n v="313000"/>
  </r>
  <r>
    <d v="2025-05-09T00:00:00"/>
    <x v="5"/>
    <s v="IKJ-02"/>
    <n v="6"/>
    <n v="46.8"/>
    <n v="205.8"/>
    <n v="0"/>
    <n v="5"/>
    <x v="3"/>
    <n v="7.8"/>
    <s v="Mr. Adeyemi"/>
    <n v="313000"/>
  </r>
  <r>
    <d v="2025-04-28T00:00:00"/>
    <x v="1"/>
    <s v="MSH-01"/>
    <n v="3"/>
    <n v="24.2"/>
    <n v="133.19999999999999"/>
    <n v="1"/>
    <n v="4"/>
    <x v="8"/>
    <n v="8.0666666666666664"/>
    <s v="Mrs. Adisa"/>
    <n v="633000"/>
  </r>
  <r>
    <d v="2025-09-24T00:00:00"/>
    <x v="4"/>
    <s v="IKD-03"/>
    <n v="4"/>
    <n v="18.7"/>
    <n v="138.9"/>
    <n v="5"/>
    <n v="9"/>
    <x v="10"/>
    <n v="4.6749999999999998"/>
    <s v="Mrs. Eze"/>
    <n v="535000"/>
  </r>
  <r>
    <d v="2025-06-04T00:00:00"/>
    <x v="6"/>
    <s v="LKK-02"/>
    <n v="2"/>
    <n v="10.6"/>
    <n v="68.099999999999994"/>
    <n v="0"/>
    <n v="6"/>
    <x v="7"/>
    <n v="5.3"/>
    <s v="Mr. Salami"/>
    <n v="200000"/>
  </r>
  <r>
    <d v="2025-01-06T00:00:00"/>
    <x v="2"/>
    <s v="BDG-01"/>
    <n v="2"/>
    <n v="7.9"/>
    <n v="82.4"/>
    <n v="1"/>
    <n v="1"/>
    <x v="0"/>
    <n v="3.95"/>
    <s v="Mrs. Johnson"/>
    <n v="241000"/>
  </r>
  <r>
    <d v="2025-03-21T00:00:00"/>
    <x v="3"/>
    <s v="EPE-02"/>
    <n v="4"/>
    <n v="16.2"/>
    <n v="136.69999999999999"/>
    <n v="3"/>
    <n v="3"/>
    <x v="2"/>
    <n v="4.05"/>
    <s v="Mr. Ogunleye"/>
    <n v="181000"/>
  </r>
  <r>
    <d v="2025-09-24T00:00:00"/>
    <x v="2"/>
    <s v="BDG-02"/>
    <n v="2"/>
    <n v="8.9"/>
    <n v="88.6"/>
    <m/>
    <n v="9"/>
    <x v="10"/>
    <n v="4.45"/>
    <s v="Mrs. Johnson"/>
    <n v="241000"/>
  </r>
  <r>
    <d v="2025-10-31T00:00:00"/>
    <x v="3"/>
    <s v="EPE-01"/>
    <n v="6"/>
    <n v="26.8"/>
    <n v="259.7"/>
    <n v="2"/>
    <n v="10"/>
    <x v="9"/>
    <n v="4.4666666666666668"/>
    <s v="Mr. Ogunleye"/>
    <n v="181000"/>
  </r>
  <r>
    <d v="2025-08-27T00:00:00"/>
    <x v="2"/>
    <s v="BDG-01"/>
    <n v="2"/>
    <n v="7.7"/>
    <n v="76"/>
    <n v="3"/>
    <n v="8"/>
    <x v="6"/>
    <n v="3.85"/>
    <s v="Mrs. Johnson"/>
    <n v="241000"/>
  </r>
  <r>
    <d v="2025-10-13T00:00:00"/>
    <x v="5"/>
    <s v="IKJ-03"/>
    <n v="2"/>
    <n v="10.8"/>
    <n v="85.7"/>
    <n v="3"/>
    <n v="10"/>
    <x v="9"/>
    <n v="5.4"/>
    <s v="Mr. Adeyemi"/>
    <n v="313000"/>
  </r>
  <r>
    <d v="2025-09-24T00:00:00"/>
    <x v="7"/>
    <s v="SRL-02"/>
    <n v="2"/>
    <n v="10.8"/>
    <n v="78"/>
    <n v="1"/>
    <n v="9"/>
    <x v="10"/>
    <n v="5.4"/>
    <s v="Mrs. Okafor"/>
    <n v="503000"/>
  </r>
  <r>
    <d v="2025-06-17T00:00:00"/>
    <x v="0"/>
    <s v=""/>
    <n v="3"/>
    <n v="21.4"/>
    <n v="110.7"/>
    <n v="1"/>
    <n v="6"/>
    <x v="7"/>
    <n v="7.1333333333333329"/>
    <s v="Mr. Bello"/>
    <n v="1288000"/>
  </r>
  <r>
    <d v="2025-01-19T00:00:00"/>
    <x v="6"/>
    <s v="LKK-01"/>
    <n v="6"/>
    <n v="30.5"/>
    <n v="295.3"/>
    <n v="2"/>
    <n v="1"/>
    <x v="0"/>
    <n v="5.083333333333333"/>
    <s v="Mr. Salami"/>
    <n v="200000"/>
  </r>
  <r>
    <d v="2025-09-25T00:00:00"/>
    <x v="6"/>
    <s v="LKK-01"/>
    <n v="6"/>
    <m/>
    <n v="235.1"/>
    <n v="2"/>
    <n v="9"/>
    <x v="10"/>
    <m/>
    <s v="Mr. Salami"/>
    <n v="200000"/>
  </r>
  <r>
    <d v="2025-02-08T00:00:00"/>
    <x v="6"/>
    <s v="LKK-01"/>
    <n v="5"/>
    <n v="30"/>
    <n v="187.8"/>
    <n v="1"/>
    <n v="2"/>
    <x v="5"/>
    <n v="6"/>
    <s v="Mr. Salami"/>
    <n v="200000"/>
  </r>
  <r>
    <d v="2025-12-29T00:00:00"/>
    <x v="1"/>
    <s v="MSH-02"/>
    <n v="4"/>
    <n v="36.5"/>
    <n v="159.6"/>
    <n v="1"/>
    <n v="12"/>
    <x v="11"/>
    <n v="9.125"/>
    <s v="Mrs. Adisa"/>
    <n v="633000"/>
  </r>
  <r>
    <d v="2025-09-10T00:00:00"/>
    <x v="5"/>
    <s v="IKJ-02"/>
    <n v="6"/>
    <n v="38.6"/>
    <n v="219.8"/>
    <n v="2"/>
    <n v="9"/>
    <x v="10"/>
    <n v="6.4333333333333336"/>
    <s v="Mr. Adeyemi"/>
    <n v="313000"/>
  </r>
  <r>
    <d v="2025-07-22T00:00:00"/>
    <x v="7"/>
    <s v="SRL-03"/>
    <n v="4"/>
    <n v="24.8"/>
    <n v="167.3"/>
    <n v="0"/>
    <n v="7"/>
    <x v="1"/>
    <n v="6.2"/>
    <s v="Mrs. Okafor"/>
    <n v="503000"/>
  </r>
  <r>
    <d v="2025-03-22T00:00:00"/>
    <x v="1"/>
    <s v="MSH-02"/>
    <n v="6"/>
    <n v="43"/>
    <n v="229.5"/>
    <n v="3"/>
    <n v="3"/>
    <x v="2"/>
    <n v="7.166666666666667"/>
    <s v="Mrs. Adisa"/>
    <n v="633000"/>
  </r>
  <r>
    <d v="2025-10-02T00:00:00"/>
    <x v="1"/>
    <s v=""/>
    <n v="3"/>
    <n v="21.6"/>
    <n v="126.7"/>
    <n v="0"/>
    <n v="10"/>
    <x v="9"/>
    <n v="7.2"/>
    <s v="Mrs. Adisa"/>
    <n v="633000"/>
  </r>
  <r>
    <d v="2025-12-21T00:00:00"/>
    <x v="5"/>
    <s v="IKJ-01"/>
    <n v="4"/>
    <n v="36.9"/>
    <n v="136.80000000000001"/>
    <n v="1"/>
    <n v="12"/>
    <x v="11"/>
    <n v="9.2249999999999996"/>
    <s v="Mr. Adeyemi"/>
    <n v="313000"/>
  </r>
  <r>
    <d v="2025-11-06T00:00:00"/>
    <x v="4"/>
    <s v="IKD-02"/>
    <n v="5"/>
    <n v="20.9"/>
    <n v="204.4"/>
    <n v="5"/>
    <n v="11"/>
    <x v="4"/>
    <n v="4.18"/>
    <s v="Mrs. Eze"/>
    <n v="535000"/>
  </r>
  <r>
    <d v="2025-07-11T00:00:00"/>
    <x v="5"/>
    <s v="IKJ-01"/>
    <n v="2"/>
    <n v="15"/>
    <n v="88.6"/>
    <n v="0"/>
    <n v="7"/>
    <x v="1"/>
    <n v="7.5"/>
    <s v="Mr. Adeyemi"/>
    <n v="313000"/>
  </r>
  <r>
    <d v="2025-05-26T00:00:00"/>
    <x v="5"/>
    <s v="IKJ-03"/>
    <n v="6"/>
    <n v="40"/>
    <n v="205"/>
    <n v="1"/>
    <n v="5"/>
    <x v="3"/>
    <n v="6.666666666666667"/>
    <s v="Mr. Adeyemi"/>
    <n v="313000"/>
  </r>
  <r>
    <d v="2025-04-28T00:00:00"/>
    <x v="6"/>
    <s v="LKK-02"/>
    <n v="2"/>
    <n v="9.6"/>
    <n v="84.2"/>
    <n v="0"/>
    <n v="4"/>
    <x v="8"/>
    <n v="4.8"/>
    <s v="Mr. Salami"/>
    <n v="200000"/>
  </r>
  <r>
    <d v="2025-03-06T00:00:00"/>
    <x v="7"/>
    <s v="SRL-03"/>
    <n v="2"/>
    <n v="12.3"/>
    <n v="85.6"/>
    <n v="0"/>
    <n v="3"/>
    <x v="2"/>
    <n v="6.15"/>
    <s v="Mrs. Okafor"/>
    <n v="503000"/>
  </r>
  <r>
    <d v="2025-05-27T00:00:00"/>
    <x v="7"/>
    <s v="SRL-02"/>
    <n v="3"/>
    <n v="18.399999999999999"/>
    <n v="106"/>
    <n v="0"/>
    <n v="5"/>
    <x v="3"/>
    <n v="6.1333333333333329"/>
    <s v="Mrs. Okafor"/>
    <n v="503000"/>
  </r>
  <r>
    <d v="2025-10-30T00:00:00"/>
    <x v="5"/>
    <s v="IKJ-01"/>
    <n v="2"/>
    <n v="13.9"/>
    <n v="108.4"/>
    <n v="2"/>
    <n v="10"/>
    <x v="9"/>
    <n v="6.95"/>
    <s v="Mr. Adeyemi"/>
    <n v="313000"/>
  </r>
  <r>
    <d v="2025-04-26T00:00:00"/>
    <x v="3"/>
    <s v="EPE-02"/>
    <n v="2"/>
    <n v="8.4"/>
    <n v="76.099999999999994"/>
    <n v="2"/>
    <n v="4"/>
    <x v="8"/>
    <n v="4.2"/>
    <s v="Mr. Ogunleye"/>
    <n v="181000"/>
  </r>
  <r>
    <d v="2025-05-16T00:00:00"/>
    <x v="4"/>
    <s v="IKD-01"/>
    <n v="5"/>
    <m/>
    <n v="198.2"/>
    <n v="3"/>
    <n v="5"/>
    <x v="3"/>
    <m/>
    <s v="Mrs. Eze"/>
    <n v="535000"/>
  </r>
  <r>
    <d v="2025-10-10T00:00:00"/>
    <x v="5"/>
    <s v="IKJ-02"/>
    <n v="5"/>
    <n v="37.200000000000003"/>
    <n v="213.5"/>
    <n v="0"/>
    <n v="10"/>
    <x v="9"/>
    <n v="7.44"/>
    <s v="Mr. Adeyemi"/>
    <n v="313000"/>
  </r>
  <r>
    <d v="2025-08-13T00:00:00"/>
    <x v="0"/>
    <s v="ALM-02"/>
    <n v="4"/>
    <n v="26.6"/>
    <n v="114.9"/>
    <n v="1"/>
    <n v="8"/>
    <x v="6"/>
    <n v="6.65"/>
    <s v="Mr. Bello"/>
    <n v="1288000"/>
  </r>
  <r>
    <d v="2025-07-23T00:00:00"/>
    <x v="4"/>
    <s v="IKD-02"/>
    <n v="4"/>
    <n v="16.8"/>
    <n v="131.80000000000001"/>
    <n v="1"/>
    <n v="7"/>
    <x v="1"/>
    <n v="4.2"/>
    <s v="Mrs. Eze"/>
    <n v="535000"/>
  </r>
  <r>
    <d v="2025-07-13T00:00:00"/>
    <x v="5"/>
    <s v="IKJ-03"/>
    <n v="3"/>
    <n v="20.100000000000001"/>
    <n v="87.4"/>
    <n v="1"/>
    <n v="7"/>
    <x v="1"/>
    <n v="6.7"/>
    <s v="Mr. Adeyemi"/>
    <n v="313000"/>
  </r>
  <r>
    <d v="2025-06-04T00:00:00"/>
    <x v="0"/>
    <s v="ALM-04"/>
    <n v="4"/>
    <n v="30.3"/>
    <n v="153.5"/>
    <n v="4"/>
    <n v="6"/>
    <x v="7"/>
    <n v="7.5750000000000002"/>
    <s v="Mr. Bello"/>
    <n v="1288000"/>
  </r>
  <r>
    <d v="2025-07-24T00:00:00"/>
    <x v="0"/>
    <s v="ALM-01"/>
    <n v="6"/>
    <n v="37.5"/>
    <n v="276.2"/>
    <n v="1"/>
    <n v="7"/>
    <x v="1"/>
    <n v="6.25"/>
    <s v="Mr. Bello"/>
    <n v="1288000"/>
  </r>
  <r>
    <d v="2025-05-23T00:00:00"/>
    <x v="5"/>
    <s v="IKJ-03"/>
    <n v="4"/>
    <n v="23.6"/>
    <n v="156.5"/>
    <n v="1"/>
    <n v="5"/>
    <x v="3"/>
    <n v="5.9"/>
    <s v="Mr. Adeyemi"/>
    <n v="313000"/>
  </r>
  <r>
    <d v="2025-11-07T00:00:00"/>
    <x v="1"/>
    <s v="MSH-01"/>
    <n v="4"/>
    <n v="33.9"/>
    <n v="188"/>
    <n v="0"/>
    <n v="11"/>
    <x v="4"/>
    <n v="8.4749999999999996"/>
    <s v="Mrs. Adisa"/>
    <n v="633000"/>
  </r>
  <r>
    <d v="2025-04-21T00:00:00"/>
    <x v="7"/>
    <s v="SRL-03"/>
    <n v="3"/>
    <n v="21.9"/>
    <n v="133.69999999999999"/>
    <n v="1"/>
    <n v="4"/>
    <x v="8"/>
    <n v="7.3"/>
    <s v="Mrs. Okafor"/>
    <n v="503000"/>
  </r>
  <r>
    <d v="2025-10-30T00:00:00"/>
    <x v="1"/>
    <s v="MSH-03"/>
    <n v="3"/>
    <n v="22.7"/>
    <n v="107.2"/>
    <n v="3"/>
    <n v="10"/>
    <x v="9"/>
    <n v="7.5666666666666664"/>
    <s v="Mrs. Adisa"/>
    <n v="633000"/>
  </r>
  <r>
    <d v="2025-09-19T00:00:00"/>
    <x v="1"/>
    <s v="MSH-02"/>
    <n v="3"/>
    <m/>
    <n v="150.30000000000001"/>
    <n v="1"/>
    <n v="9"/>
    <x v="10"/>
    <m/>
    <s v="Mrs. Adisa"/>
    <n v="633000"/>
  </r>
  <r>
    <d v="2025-06-06T00:00:00"/>
    <x v="4"/>
    <s v="IKD-02"/>
    <n v="3"/>
    <n v="12.5"/>
    <n v="116.6"/>
    <n v="1"/>
    <n v="6"/>
    <x v="7"/>
    <n v="4.166666666666667"/>
    <s v="Mrs. Eze"/>
    <n v="535000"/>
  </r>
  <r>
    <d v="2025-08-11T00:00:00"/>
    <x v="2"/>
    <s v="BDG-02"/>
    <n v="6"/>
    <n v="23.5"/>
    <n v="257.89999999999998"/>
    <n v="4"/>
    <n v="8"/>
    <x v="6"/>
    <n v="3.9166666666666665"/>
    <s v="Mrs. Johnson"/>
    <n v="241000"/>
  </r>
  <r>
    <d v="2025-04-23T00:00:00"/>
    <x v="2"/>
    <s v=""/>
    <n v="4"/>
    <n v="17"/>
    <n v="167.7"/>
    <n v="1"/>
    <n v="4"/>
    <x v="8"/>
    <n v="4.25"/>
    <s v="Mrs. Johnson"/>
    <n v="241000"/>
  </r>
  <r>
    <d v="2025-10-16T00:00:00"/>
    <x v="2"/>
    <s v="BDG-02"/>
    <n v="6"/>
    <n v="24"/>
    <n v="319"/>
    <n v="0"/>
    <n v="10"/>
    <x v="9"/>
    <n v="4"/>
    <s v="Mrs. Johnson"/>
    <n v="241000"/>
  </r>
  <r>
    <d v="2025-09-21T00:00:00"/>
    <x v="6"/>
    <s v="LKK-02"/>
    <n v="3"/>
    <n v="13.9"/>
    <n v="116.4"/>
    <n v="2"/>
    <n v="9"/>
    <x v="10"/>
    <n v="4.6333333333333337"/>
    <s v="Mr. Salami"/>
    <n v="200000"/>
  </r>
  <r>
    <d v="2025-11-07T00:00:00"/>
    <x v="7"/>
    <s v="SRL-01"/>
    <n v="6"/>
    <n v="41.8"/>
    <n v="218.3"/>
    <n v="0"/>
    <n v="11"/>
    <x v="4"/>
    <n v="6.9666666666666659"/>
    <s v="Mrs. Okafor"/>
    <n v="503000"/>
  </r>
  <r>
    <d v="2025-07-31T00:00:00"/>
    <x v="2"/>
    <s v="BDG-01"/>
    <n v="2"/>
    <n v="6.6"/>
    <n v="77.3"/>
    <n v="2"/>
    <n v="7"/>
    <x v="1"/>
    <n v="3.3"/>
    <s v="Mrs. Johnson"/>
    <n v="241000"/>
  </r>
  <r>
    <d v="2025-03-13T00:00:00"/>
    <x v="7"/>
    <s v="SRL-02"/>
    <n v="5"/>
    <n v="28.8"/>
    <n v="143.5"/>
    <n v="0"/>
    <n v="3"/>
    <x v="2"/>
    <n v="5.76"/>
    <s v="Mrs. Okafor"/>
    <n v="503000"/>
  </r>
  <r>
    <d v="2025-02-20T00:00:00"/>
    <x v="4"/>
    <s v="IKD-01"/>
    <n v="6"/>
    <n v="22.2"/>
    <n v="152.9"/>
    <n v="3"/>
    <n v="2"/>
    <x v="5"/>
    <n v="3.6999999999999997"/>
    <s v="Mrs. Eze"/>
    <n v="535000"/>
  </r>
  <r>
    <d v="2025-07-23T00:00:00"/>
    <x v="5"/>
    <s v="IKJ-03"/>
    <n v="4"/>
    <n v="23.6"/>
    <n v="174.7"/>
    <n v="0"/>
    <n v="7"/>
    <x v="1"/>
    <n v="5.9"/>
    <s v="Mr. Adeyemi"/>
    <n v="313000"/>
  </r>
  <r>
    <d v="2025-04-10T00:00:00"/>
    <x v="6"/>
    <s v="LKK-01"/>
    <n v="5"/>
    <n v="24.7"/>
    <n v="175.1"/>
    <n v="2"/>
    <n v="4"/>
    <x v="8"/>
    <n v="4.9399999999999995"/>
    <s v="Mr. Salami"/>
    <n v="200000"/>
  </r>
  <r>
    <d v="2025-05-16T00:00:00"/>
    <x v="5"/>
    <s v="IKJ-01"/>
    <n v="3"/>
    <n v="21.4"/>
    <n v="90"/>
    <n v="4"/>
    <n v="5"/>
    <x v="3"/>
    <n v="7.1333333333333329"/>
    <s v="Mr. Adeyemi"/>
    <n v="313000"/>
  </r>
  <r>
    <d v="2025-11-22T00:00:00"/>
    <x v="0"/>
    <s v="ALM-03"/>
    <n v="6"/>
    <n v="38.5"/>
    <n v="223.6"/>
    <n v="2"/>
    <n v="11"/>
    <x v="4"/>
    <n v="6.416666666666667"/>
    <s v="Mr. Bello"/>
    <n v="1288000"/>
  </r>
  <r>
    <d v="2025-12-01T00:00:00"/>
    <x v="1"/>
    <s v=""/>
    <n v="4"/>
    <n v="39.299999999999997"/>
    <n v="171.5"/>
    <n v="3"/>
    <n v="12"/>
    <x v="11"/>
    <n v="9.8249999999999993"/>
    <s v="Mrs. Adisa"/>
    <n v="633000"/>
  </r>
  <r>
    <d v="2025-04-28T00:00:00"/>
    <x v="3"/>
    <s v="EPE-02"/>
    <n v="3"/>
    <n v="12"/>
    <n v="109"/>
    <n v="6"/>
    <n v="4"/>
    <x v="8"/>
    <n v="4"/>
    <s v="Mr. Ogunleye"/>
    <n v="181000"/>
  </r>
  <r>
    <d v="2025-10-28T00:00:00"/>
    <x v="0"/>
    <s v="ALM-01"/>
    <n v="2"/>
    <n v="12.9"/>
    <n v="74.8"/>
    <n v="1"/>
    <n v="10"/>
    <x v="9"/>
    <n v="6.45"/>
    <s v="Mr. Bello"/>
    <n v="1288000"/>
  </r>
  <r>
    <d v="2025-03-21T00:00:00"/>
    <x v="4"/>
    <s v="IKD-03"/>
    <n v="6"/>
    <n v="30.9"/>
    <n v="222.7"/>
    <n v="2"/>
    <n v="3"/>
    <x v="2"/>
    <n v="5.1499999999999995"/>
    <s v="Mrs. Eze"/>
    <n v="535000"/>
  </r>
  <r>
    <d v="2025-01-25T00:00:00"/>
    <x v="2"/>
    <s v="BDG-01"/>
    <n v="2"/>
    <n v="8.6999999999999993"/>
    <n v="77.3"/>
    <n v="2"/>
    <n v="1"/>
    <x v="0"/>
    <n v="4.3499999999999996"/>
    <s v="Mrs. Johnson"/>
    <n v="241000"/>
  </r>
  <r>
    <d v="2025-11-16T00:00:00"/>
    <x v="3"/>
    <s v="EPE-02"/>
    <n v="5"/>
    <n v="21.2"/>
    <n v="187.4"/>
    <n v="3"/>
    <n v="11"/>
    <x v="4"/>
    <n v="4.24"/>
    <s v="Mr. Ogunleye"/>
    <n v="181000"/>
  </r>
  <r>
    <d v="2025-12-07T00:00:00"/>
    <x v="3"/>
    <s v="EPE-01"/>
    <n v="2"/>
    <n v="9.5"/>
    <n v="71.900000000000006"/>
    <n v="4"/>
    <n v="12"/>
    <x v="11"/>
    <n v="4.75"/>
    <s v="Mr. Ogunleye"/>
    <n v="181000"/>
  </r>
  <r>
    <d v="2025-01-27T00:00:00"/>
    <x v="0"/>
    <s v="ALM-02"/>
    <n v="4"/>
    <n v="29"/>
    <n v="156.9"/>
    <n v="1"/>
    <n v="1"/>
    <x v="0"/>
    <n v="7.25"/>
    <s v="Mr. Bello"/>
    <n v="1288000"/>
  </r>
  <r>
    <d v="2025-08-05T00:00:00"/>
    <x v="4"/>
    <s v="IKD-01"/>
    <n v="2"/>
    <n v="6.6"/>
    <n v="87.1"/>
    <n v="3"/>
    <n v="8"/>
    <x v="6"/>
    <n v="3.3"/>
    <s v="Mrs. Eze"/>
    <n v="535000"/>
  </r>
  <r>
    <d v="2025-03-08T00:00:00"/>
    <x v="6"/>
    <s v="LKK-01"/>
    <n v="6"/>
    <n v="31.4"/>
    <n v="215"/>
    <n v="3"/>
    <n v="3"/>
    <x v="2"/>
    <n v="5.2333333333333334"/>
    <s v="Mr. Salami"/>
    <n v="200000"/>
  </r>
  <r>
    <d v="2025-07-02T00:00:00"/>
    <x v="2"/>
    <s v="BDG-01"/>
    <n v="6"/>
    <n v="23.9"/>
    <n v="248"/>
    <n v="2"/>
    <n v="7"/>
    <x v="1"/>
    <n v="3.9833333333333329"/>
    <s v="Mrs. Johnson"/>
    <n v="241000"/>
  </r>
  <r>
    <d v="2025-11-28T00:00:00"/>
    <x v="4"/>
    <s v="IKD-02"/>
    <n v="3"/>
    <n v="12.1"/>
    <n v="95.3"/>
    <n v="2"/>
    <n v="11"/>
    <x v="4"/>
    <n v="4.0333333333333332"/>
    <s v="Mrs. Eze"/>
    <n v="535000"/>
  </r>
  <r>
    <d v="2025-01-20T00:00:00"/>
    <x v="3"/>
    <s v="EPE-02"/>
    <n v="4"/>
    <m/>
    <n v="143.80000000000001"/>
    <n v="3"/>
    <n v="1"/>
    <x v="0"/>
    <m/>
    <s v="Mr. Ogunleye"/>
    <n v="181000"/>
  </r>
  <r>
    <d v="2025-12-29T00:00:00"/>
    <x v="5"/>
    <s v="IKJ-03"/>
    <n v="2"/>
    <n v="16.8"/>
    <n v="91.8"/>
    <n v="2"/>
    <n v="12"/>
    <x v="11"/>
    <n v="8.4"/>
    <s v="Mr. Adeyemi"/>
    <n v="313000"/>
  </r>
  <r>
    <d v="2025-07-16T00:00:00"/>
    <x v="5"/>
    <s v="IKJ-02"/>
    <n v="2"/>
    <n v="12.8"/>
    <n v="66.900000000000006"/>
    <m/>
    <n v="7"/>
    <x v="1"/>
    <n v="6.4"/>
    <s v="Mr. Adeyemi"/>
    <n v="313000"/>
  </r>
  <r>
    <d v="2025-07-25T00:00:00"/>
    <x v="4"/>
    <s v="IKD-01"/>
    <n v="2"/>
    <n v="8"/>
    <n v="75"/>
    <m/>
    <n v="7"/>
    <x v="1"/>
    <n v="4"/>
    <s v="Mrs. Eze"/>
    <n v="535000"/>
  </r>
  <r>
    <d v="2025-04-21T00:00:00"/>
    <x v="5"/>
    <s v="IKJ-03"/>
    <n v="4"/>
    <n v="26.9"/>
    <n v="123.7"/>
    <n v="2"/>
    <n v="4"/>
    <x v="8"/>
    <n v="6.7249999999999996"/>
    <s v="Mr. Adeyemi"/>
    <n v="313000"/>
  </r>
  <r>
    <d v="2025-08-06T00:00:00"/>
    <x v="0"/>
    <s v="ALM-04"/>
    <n v="2"/>
    <n v="13.7"/>
    <n v="69.099999999999994"/>
    <n v="0"/>
    <n v="8"/>
    <x v="6"/>
    <n v="6.85"/>
    <s v="Mr. Bello"/>
    <n v="1288000"/>
  </r>
  <r>
    <d v="2025-08-15T00:00:00"/>
    <x v="3"/>
    <s v="EPE-01"/>
    <n v="6"/>
    <n v="21.7"/>
    <n v="186.7"/>
    <n v="1"/>
    <n v="8"/>
    <x v="6"/>
    <n v="3.6166666666666667"/>
    <s v="Mr. Ogunleye"/>
    <n v="181000"/>
  </r>
  <r>
    <d v="2025-09-10T00:00:00"/>
    <x v="5"/>
    <s v="IKJ-03"/>
    <n v="5"/>
    <n v="31"/>
    <n v="144.9"/>
    <n v="1"/>
    <n v="9"/>
    <x v="10"/>
    <n v="6.2"/>
    <s v="Mr. Adeyemi"/>
    <n v="313000"/>
  </r>
  <r>
    <d v="2025-01-20T00:00:00"/>
    <x v="3"/>
    <s v="EPE-02"/>
    <n v="4"/>
    <n v="16.100000000000001"/>
    <n v="155.1"/>
    <n v="4"/>
    <n v="1"/>
    <x v="0"/>
    <n v="4.0250000000000004"/>
    <s v="Mr. Ogunleye"/>
    <n v="181000"/>
  </r>
  <r>
    <d v="2025-01-15T00:00:00"/>
    <x v="6"/>
    <s v="LKK-02"/>
    <n v="2"/>
    <n v="13.5"/>
    <n v="78.3"/>
    <n v="0"/>
    <n v="1"/>
    <x v="0"/>
    <n v="6.75"/>
    <s v="Mr. Salami"/>
    <n v="200000"/>
  </r>
  <r>
    <d v="2025-07-13T00:00:00"/>
    <x v="5"/>
    <s v="IKJ-01"/>
    <n v="5"/>
    <n v="31.8"/>
    <n v="212.2"/>
    <n v="0"/>
    <n v="7"/>
    <x v="1"/>
    <n v="6.36"/>
    <s v="Mr. Adeyemi"/>
    <n v="313000"/>
  </r>
  <r>
    <d v="2025-12-30T00:00:00"/>
    <x v="4"/>
    <s v="IKD-02"/>
    <n v="4"/>
    <n v="20.9"/>
    <n v="173.9"/>
    <n v="0"/>
    <n v="12"/>
    <x v="11"/>
    <n v="5.2249999999999996"/>
    <s v="Mrs. Eze"/>
    <n v="535000"/>
  </r>
  <r>
    <d v="2025-09-15T00:00:00"/>
    <x v="7"/>
    <s v="SRL-02"/>
    <n v="5"/>
    <n v="30.4"/>
    <n v="187.8"/>
    <n v="0"/>
    <n v="9"/>
    <x v="10"/>
    <n v="6.08"/>
    <s v="Mrs. Okafor"/>
    <n v="503000"/>
  </r>
  <r>
    <d v="2025-10-09T00:00:00"/>
    <x v="5"/>
    <s v="IKJ-02"/>
    <n v="3"/>
    <n v="23.2"/>
    <n v="120.4"/>
    <n v="1"/>
    <n v="10"/>
    <x v="9"/>
    <n v="7.7333333333333334"/>
    <s v="Mr. Adeyemi"/>
    <n v="313000"/>
  </r>
  <r>
    <d v="2025-10-01T00:00:00"/>
    <x v="0"/>
    <s v="ALM-02"/>
    <n v="4"/>
    <n v="25.2"/>
    <n v="141.4"/>
    <n v="0"/>
    <n v="10"/>
    <x v="9"/>
    <n v="6.3"/>
    <s v="Mr. Bello"/>
    <n v="1288000"/>
  </r>
  <r>
    <d v="2025-02-14T00:00:00"/>
    <x v="1"/>
    <s v="MSH-03"/>
    <n v="2"/>
    <n v="12.8"/>
    <n v="95.1"/>
    <n v="1"/>
    <n v="2"/>
    <x v="5"/>
    <n v="6.4"/>
    <s v="Mrs. Adisa"/>
    <n v="633000"/>
  </r>
  <r>
    <d v="2025-08-29T00:00:00"/>
    <x v="7"/>
    <s v="SRL-03"/>
    <n v="3"/>
    <n v="17.7"/>
    <n v="128.80000000000001"/>
    <n v="0"/>
    <n v="8"/>
    <x v="6"/>
    <n v="5.8999999999999995"/>
    <s v="Mrs. Okafor"/>
    <n v="503000"/>
  </r>
  <r>
    <d v="2025-10-08T00:00:00"/>
    <x v="3"/>
    <s v="EPE-02"/>
    <n v="5"/>
    <n v="18.5"/>
    <n v="216.1"/>
    <n v="1"/>
    <n v="10"/>
    <x v="9"/>
    <n v="3.7"/>
    <s v="Mr. Ogunleye"/>
    <n v="181000"/>
  </r>
  <r>
    <d v="2025-05-21T00:00:00"/>
    <x v="4"/>
    <s v="IKD-02"/>
    <n v="6"/>
    <n v="22.3"/>
    <n v="240.2"/>
    <n v="0"/>
    <n v="5"/>
    <x v="3"/>
    <n v="3.7166666666666668"/>
    <s v="Mrs. Eze"/>
    <n v="535000"/>
  </r>
  <r>
    <d v="2025-11-04T00:00:00"/>
    <x v="3"/>
    <s v="EPE-02"/>
    <n v="6"/>
    <n v="23.7"/>
    <n v="220.4"/>
    <n v="1"/>
    <n v="11"/>
    <x v="4"/>
    <n v="3.9499999999999997"/>
    <s v="Mr. Ogunleye"/>
    <n v="181000"/>
  </r>
  <r>
    <d v="2025-02-10T00:00:00"/>
    <x v="7"/>
    <s v="SRL-01"/>
    <n v="6"/>
    <n v="29.2"/>
    <n v="218.1"/>
    <n v="0"/>
    <n v="2"/>
    <x v="5"/>
    <n v="4.8666666666666663"/>
    <s v="Mrs. Okafor"/>
    <n v="503000"/>
  </r>
  <r>
    <d v="2025-04-03T00:00:00"/>
    <x v="5"/>
    <s v="IKJ-01"/>
    <n v="4"/>
    <n v="29.3"/>
    <n v="138.5"/>
    <n v="1"/>
    <n v="4"/>
    <x v="8"/>
    <n v="7.3250000000000002"/>
    <s v="Mr. Adeyemi"/>
    <n v="313000"/>
  </r>
  <r>
    <d v="2025-06-25T00:00:00"/>
    <x v="2"/>
    <s v="BDG-02"/>
    <n v="6"/>
    <n v="27"/>
    <n v="236.5"/>
    <n v="1"/>
    <n v="6"/>
    <x v="7"/>
    <n v="4.5"/>
    <s v="Mrs. Johnson"/>
    <n v="241000"/>
  </r>
  <r>
    <d v="2025-01-02T00:00:00"/>
    <x v="4"/>
    <s v="IKD-03"/>
    <n v="4"/>
    <n v="13.8"/>
    <n v="151.5"/>
    <n v="2"/>
    <n v="1"/>
    <x v="0"/>
    <n v="3.45"/>
    <s v="Mrs. Eze"/>
    <n v="535000"/>
  </r>
  <r>
    <d v="2025-09-04T00:00:00"/>
    <x v="1"/>
    <s v="MSH-01"/>
    <n v="6"/>
    <n v="40.700000000000003"/>
    <n v="186.7"/>
    <n v="2"/>
    <n v="9"/>
    <x v="10"/>
    <n v="6.7833333333333341"/>
    <s v="Mrs. Adisa"/>
    <n v="633000"/>
  </r>
  <r>
    <d v="2025-11-12T00:00:00"/>
    <x v="6"/>
    <s v="LKK-01"/>
    <n v="4"/>
    <n v="23"/>
    <n v="140.69999999999999"/>
    <n v="1"/>
    <n v="11"/>
    <x v="4"/>
    <n v="5.75"/>
    <s v="Mr. Salami"/>
    <n v="200000"/>
  </r>
  <r>
    <d v="2025-08-11T00:00:00"/>
    <x v="0"/>
    <s v="ALM-03"/>
    <n v="4"/>
    <n v="25.6"/>
    <n v="171.4"/>
    <n v="2"/>
    <n v="8"/>
    <x v="6"/>
    <n v="6.4"/>
    <s v="Mr. Bello"/>
    <n v="1288000"/>
  </r>
  <r>
    <d v="2025-05-04T00:00:00"/>
    <x v="2"/>
    <s v="BDG-02"/>
    <n v="5"/>
    <n v="17.7"/>
    <n v="163.9"/>
    <n v="3"/>
    <n v="5"/>
    <x v="3"/>
    <n v="3.54"/>
    <s v="Mrs. Johnson"/>
    <n v="241000"/>
  </r>
  <r>
    <d v="2025-03-22T00:00:00"/>
    <x v="7"/>
    <s v="SRL-01"/>
    <n v="3"/>
    <n v="18.600000000000001"/>
    <n v="147.6"/>
    <n v="2"/>
    <n v="3"/>
    <x v="2"/>
    <n v="6.2"/>
    <s v="Mrs. Okafor"/>
    <n v="503000"/>
  </r>
  <r>
    <d v="2025-10-18T00:00:00"/>
    <x v="5"/>
    <s v="IKJ-02"/>
    <n v="3"/>
    <n v="19.2"/>
    <n v="104.6"/>
    <n v="2"/>
    <n v="10"/>
    <x v="9"/>
    <n v="6.3999999999999995"/>
    <s v="Mr. Adeyemi"/>
    <n v="313000"/>
  </r>
  <r>
    <d v="2025-01-02T00:00:00"/>
    <x v="7"/>
    <s v="SRL-02"/>
    <n v="2"/>
    <n v="12.2"/>
    <n v="78.7"/>
    <n v="2"/>
    <n v="1"/>
    <x v="0"/>
    <n v="6.1"/>
    <s v="Mrs. Okafor"/>
    <n v="503000"/>
  </r>
  <r>
    <d v="2025-10-27T00:00:00"/>
    <x v="4"/>
    <s v="IKD-01"/>
    <n v="3"/>
    <n v="15"/>
    <n v="119"/>
    <n v="2"/>
    <n v="10"/>
    <x v="9"/>
    <n v="5"/>
    <s v="Mrs. Eze"/>
    <n v="535000"/>
  </r>
  <r>
    <d v="2025-07-08T00:00:00"/>
    <x v="4"/>
    <s v="IKD-02"/>
    <n v="5"/>
    <n v="17.5"/>
    <n v="207.2"/>
    <n v="3"/>
    <n v="7"/>
    <x v="1"/>
    <n v="3.5"/>
    <s v="Mrs. Eze"/>
    <n v="535000"/>
  </r>
  <r>
    <d v="2025-08-06T00:00:00"/>
    <x v="2"/>
    <s v="BDG-02"/>
    <n v="3"/>
    <n v="13.1"/>
    <n v="136.30000000000001"/>
    <n v="1"/>
    <n v="8"/>
    <x v="6"/>
    <n v="4.3666666666666663"/>
    <s v="Mrs. Johnson"/>
    <n v="241000"/>
  </r>
  <r>
    <d v="2025-09-08T00:00:00"/>
    <x v="6"/>
    <s v="LKK-02"/>
    <n v="6"/>
    <n v="30.4"/>
    <n v="247.4"/>
    <n v="0"/>
    <n v="9"/>
    <x v="10"/>
    <n v="5.0666666666666664"/>
    <s v="Mr. Salami"/>
    <n v="200000"/>
  </r>
  <r>
    <d v="2025-03-30T00:00:00"/>
    <x v="3"/>
    <s v="EPE-01"/>
    <n v="3"/>
    <n v="11.3"/>
    <n v="149.69999999999999"/>
    <n v="4"/>
    <n v="3"/>
    <x v="2"/>
    <n v="3.7666666666666671"/>
    <s v="Mr. Ogunleye"/>
    <n v="181000"/>
  </r>
  <r>
    <d v="2025-04-29T00:00:00"/>
    <x v="3"/>
    <s v="EPE-01"/>
    <n v="2"/>
    <n v="7"/>
    <n v="59.8"/>
    <n v="2"/>
    <n v="4"/>
    <x v="8"/>
    <n v="3.5"/>
    <s v="Mr. Ogunleye"/>
    <n v="181000"/>
  </r>
  <r>
    <d v="2025-08-16T00:00:00"/>
    <x v="7"/>
    <s v="SRL-01"/>
    <n v="4"/>
    <n v="23.1"/>
    <n v="174.2"/>
    <n v="0"/>
    <n v="8"/>
    <x v="6"/>
    <n v="5.7750000000000004"/>
    <s v="Mrs. Okafor"/>
    <n v="503000"/>
  </r>
  <r>
    <d v="2025-08-30T00:00:00"/>
    <x v="6"/>
    <s v="LKK-02"/>
    <n v="6"/>
    <n v="35.5"/>
    <n v="209.5"/>
    <n v="1"/>
    <n v="8"/>
    <x v="6"/>
    <n v="5.916666666666667"/>
    <s v="Mr. Salami"/>
    <n v="200000"/>
  </r>
  <r>
    <d v="2025-10-02T00:00:00"/>
    <x v="2"/>
    <s v="BDG-01"/>
    <n v="2"/>
    <n v="8.3000000000000007"/>
    <n v="76.7"/>
    <n v="2"/>
    <n v="10"/>
    <x v="9"/>
    <n v="4.1500000000000004"/>
    <s v="Mrs. Johnson"/>
    <n v="241000"/>
  </r>
  <r>
    <d v="2025-06-12T00:00:00"/>
    <x v="0"/>
    <s v="ALM-03"/>
    <n v="6"/>
    <n v="43.6"/>
    <n v="185.9"/>
    <n v="1"/>
    <n v="6"/>
    <x v="7"/>
    <n v="7.2666666666666666"/>
    <s v="Mr. Bello"/>
    <n v="1288000"/>
  </r>
  <r>
    <d v="2025-10-01T00:00:00"/>
    <x v="1"/>
    <s v="MSH-02"/>
    <n v="6"/>
    <n v="39.799999999999997"/>
    <n v="228.3"/>
    <n v="0"/>
    <n v="10"/>
    <x v="9"/>
    <n v="6.6333333333333329"/>
    <s v="Mrs. Adisa"/>
    <n v="633000"/>
  </r>
  <r>
    <d v="2025-09-25T00:00:00"/>
    <x v="2"/>
    <s v="BDG-02"/>
    <n v="5"/>
    <n v="19.600000000000001"/>
    <n v="187.1"/>
    <n v="4"/>
    <n v="9"/>
    <x v="10"/>
    <n v="3.9200000000000004"/>
    <s v="Mrs. Johnson"/>
    <n v="241000"/>
  </r>
  <r>
    <d v="2025-10-07T00:00:00"/>
    <x v="7"/>
    <s v="SRL-02"/>
    <n v="6"/>
    <n v="34.700000000000003"/>
    <n v="183.4"/>
    <n v="0"/>
    <n v="10"/>
    <x v="9"/>
    <n v="5.7833333333333341"/>
    <s v="Mrs. Okafor"/>
    <n v="503000"/>
  </r>
  <r>
    <d v="2025-02-27T00:00:00"/>
    <x v="3"/>
    <s v="EPE-01"/>
    <n v="5"/>
    <n v="17.5"/>
    <n v="155.4"/>
    <n v="6"/>
    <n v="2"/>
    <x v="5"/>
    <n v="3.5"/>
    <s v="Mr. Ogunleye"/>
    <n v="181000"/>
  </r>
  <r>
    <d v="2025-02-09T00:00:00"/>
    <x v="1"/>
    <s v="MSH-03"/>
    <n v="3"/>
    <n v="17.899999999999999"/>
    <n v="81.8"/>
    <n v="2"/>
    <n v="2"/>
    <x v="5"/>
    <n v="5.9666666666666659"/>
    <s v="Mrs. Adisa"/>
    <n v="633000"/>
  </r>
  <r>
    <d v="2025-05-31T00:00:00"/>
    <x v="1"/>
    <s v="MSH-02"/>
    <n v="2"/>
    <n v="12.8"/>
    <m/>
    <n v="2"/>
    <n v="5"/>
    <x v="3"/>
    <n v="6.4"/>
    <s v="Mrs. Adisa"/>
    <n v="633000"/>
  </r>
  <r>
    <d v="2025-01-19T00:00:00"/>
    <x v="7"/>
    <s v="SRL-03"/>
    <n v="5"/>
    <n v="30.6"/>
    <n v="189.3"/>
    <n v="0"/>
    <n v="1"/>
    <x v="0"/>
    <n v="6.12"/>
    <s v="Mrs. Okafor"/>
    <n v="503000"/>
  </r>
  <r>
    <d v="2025-06-22T00:00:00"/>
    <x v="2"/>
    <s v="BDG-01"/>
    <n v="4"/>
    <n v="17.3"/>
    <n v="157.9"/>
    <n v="4"/>
    <n v="6"/>
    <x v="7"/>
    <n v="4.3250000000000002"/>
    <s v="Mrs. Johnson"/>
    <n v="241000"/>
  </r>
  <r>
    <d v="2025-10-21T00:00:00"/>
    <x v="4"/>
    <s v="IKD-01"/>
    <n v="2"/>
    <n v="9.1"/>
    <n v="62.1"/>
    <n v="0"/>
    <n v="10"/>
    <x v="9"/>
    <n v="4.55"/>
    <s v="Mrs. Eze"/>
    <n v="535000"/>
  </r>
  <r>
    <d v="2025-06-03T00:00:00"/>
    <x v="0"/>
    <s v="ALM-01"/>
    <n v="3"/>
    <n v="21.4"/>
    <m/>
    <n v="1"/>
    <n v="6"/>
    <x v="7"/>
    <n v="7.1333333333333329"/>
    <s v="Mr. Bello"/>
    <n v="1288000"/>
  </r>
  <r>
    <d v="2025-10-20T00:00:00"/>
    <x v="6"/>
    <s v="LKK-02"/>
    <n v="6"/>
    <n v="27.6"/>
    <n v="265.8"/>
    <n v="1"/>
    <n v="10"/>
    <x v="9"/>
    <n v="4.6000000000000005"/>
    <s v="Mr. Salami"/>
    <n v="200000"/>
  </r>
  <r>
    <d v="2025-01-01T00:00:00"/>
    <x v="0"/>
    <s v="ALM-03"/>
    <n v="2"/>
    <n v="12.2"/>
    <n v="86.5"/>
    <n v="0"/>
    <n v="1"/>
    <x v="0"/>
    <n v="6.1"/>
    <s v="Mr. Bello"/>
    <n v="1288000"/>
  </r>
  <r>
    <d v="2025-11-16T00:00:00"/>
    <x v="1"/>
    <s v="MSH-01"/>
    <n v="2"/>
    <n v="15.9"/>
    <n v="61.1"/>
    <n v="1"/>
    <n v="11"/>
    <x v="4"/>
    <n v="7.95"/>
    <s v="Mrs. Adisa"/>
    <n v="633000"/>
  </r>
  <r>
    <d v="2025-01-11T00:00:00"/>
    <x v="7"/>
    <s v="SRL-03"/>
    <n v="4"/>
    <n v="20"/>
    <n v="132.80000000000001"/>
    <n v="0"/>
    <n v="1"/>
    <x v="0"/>
    <n v="5"/>
    <s v="Mrs. Okafor"/>
    <n v="503000"/>
  </r>
  <r>
    <d v="2025-11-07T00:00:00"/>
    <x v="7"/>
    <s v="SRL-03"/>
    <n v="4"/>
    <n v="29.9"/>
    <n v="121.1"/>
    <n v="1"/>
    <n v="11"/>
    <x v="4"/>
    <n v="7.4749999999999996"/>
    <s v="Mrs. Okafor"/>
    <n v="503000"/>
  </r>
  <r>
    <d v="2025-09-14T00:00:00"/>
    <x v="0"/>
    <s v="ALM-04"/>
    <n v="5"/>
    <n v="33.299999999999997"/>
    <n v="183.3"/>
    <n v="1"/>
    <n v="9"/>
    <x v="10"/>
    <n v="6.6599999999999993"/>
    <s v="Mr. Bello"/>
    <n v="1288000"/>
  </r>
  <r>
    <d v="2025-05-08T00:00:00"/>
    <x v="4"/>
    <s v="IKD-02"/>
    <n v="6"/>
    <n v="24.9"/>
    <n v="215.1"/>
    <n v="2"/>
    <n v="5"/>
    <x v="3"/>
    <n v="4.1499999999999995"/>
    <s v="Mrs. Eze"/>
    <n v="535000"/>
  </r>
  <r>
    <d v="2025-06-19T00:00:00"/>
    <x v="4"/>
    <s v="IKD-01"/>
    <n v="3"/>
    <n v="12.3"/>
    <m/>
    <n v="2"/>
    <n v="6"/>
    <x v="7"/>
    <n v="4.1000000000000005"/>
    <s v="Mrs. Eze"/>
    <n v="535000"/>
  </r>
  <r>
    <d v="2025-05-09T00:00:00"/>
    <x v="3"/>
    <s v="EPE-01"/>
    <n v="2"/>
    <n v="7.9"/>
    <n v="73.900000000000006"/>
    <n v="2"/>
    <n v="5"/>
    <x v="3"/>
    <n v="3.95"/>
    <s v="Mr. Ogunleye"/>
    <n v="181000"/>
  </r>
  <r>
    <d v="2025-08-08T00:00:00"/>
    <x v="7"/>
    <s v="SRL-01"/>
    <n v="5"/>
    <n v="31.8"/>
    <n v="189"/>
    <n v="1"/>
    <n v="8"/>
    <x v="6"/>
    <n v="6.36"/>
    <s v="Mrs. Okafor"/>
    <n v="503000"/>
  </r>
  <r>
    <d v="2025-04-09T00:00:00"/>
    <x v="5"/>
    <s v="IKJ-02"/>
    <n v="2"/>
    <n v="14.3"/>
    <n v="90.4"/>
    <n v="4"/>
    <n v="4"/>
    <x v="8"/>
    <n v="7.15"/>
    <s v="Mr. Adeyemi"/>
    <n v="313000"/>
  </r>
  <r>
    <d v="2025-04-07T00:00:00"/>
    <x v="4"/>
    <s v="IKD-01"/>
    <n v="2"/>
    <n v="7.2"/>
    <n v="94.9"/>
    <n v="3"/>
    <n v="4"/>
    <x v="8"/>
    <n v="3.6"/>
    <s v="Mrs. Eze"/>
    <n v="535000"/>
  </r>
  <r>
    <d v="2025-12-18T00:00:00"/>
    <x v="7"/>
    <s v="SRL-01"/>
    <n v="2"/>
    <n v="17.899999999999999"/>
    <n v="85.6"/>
    <n v="4"/>
    <n v="12"/>
    <x v="11"/>
    <n v="8.9499999999999993"/>
    <s v="Mrs. Okafor"/>
    <n v="503000"/>
  </r>
  <r>
    <d v="2025-11-20T00:00:00"/>
    <x v="0"/>
    <s v="ALM-02"/>
    <n v="5"/>
    <n v="39"/>
    <n v="184.1"/>
    <n v="1"/>
    <n v="11"/>
    <x v="4"/>
    <n v="7.8"/>
    <s v="Mr. Bello"/>
    <n v="1288000"/>
  </r>
  <r>
    <d v="2025-10-07T00:00:00"/>
    <x v="6"/>
    <s v="LKK-02"/>
    <n v="3"/>
    <n v="15"/>
    <n v="108.1"/>
    <n v="1"/>
    <n v="10"/>
    <x v="9"/>
    <n v="5"/>
    <s v="Mr. Salami"/>
    <n v="200000"/>
  </r>
  <r>
    <d v="2025-10-15T00:00:00"/>
    <x v="7"/>
    <s v="SRL-02"/>
    <n v="3"/>
    <n v="16.3"/>
    <n v="114.1"/>
    <n v="1"/>
    <n v="10"/>
    <x v="9"/>
    <n v="5.4333333333333336"/>
    <s v="Mrs. Okafor"/>
    <n v="503000"/>
  </r>
  <r>
    <d v="2025-01-17T00:00:00"/>
    <x v="3"/>
    <s v="EPE-01"/>
    <n v="4"/>
    <m/>
    <n v="160.80000000000001"/>
    <n v="0"/>
    <n v="1"/>
    <x v="0"/>
    <m/>
    <s v="Mr. Ogunleye"/>
    <n v="181000"/>
  </r>
  <r>
    <d v="2025-12-30T00:00:00"/>
    <x v="2"/>
    <s v="BDG-02"/>
    <n v="4"/>
    <n v="19.2"/>
    <n v="142.4"/>
    <n v="1"/>
    <n v="12"/>
    <x v="11"/>
    <n v="4.8"/>
    <s v="Mrs. Johnson"/>
    <n v="241000"/>
  </r>
  <r>
    <d v="2025-01-02T00:00:00"/>
    <x v="1"/>
    <s v="MSH-02"/>
    <n v="2"/>
    <n v="13.7"/>
    <n v="69.8"/>
    <n v="1"/>
    <n v="1"/>
    <x v="0"/>
    <n v="6.85"/>
    <s v="Mrs. Adisa"/>
    <n v="633000"/>
  </r>
  <r>
    <d v="2025-05-23T00:00:00"/>
    <x v="2"/>
    <s v="BDG-01"/>
    <n v="5"/>
    <n v="21.2"/>
    <n v="189.6"/>
    <n v="2"/>
    <n v="5"/>
    <x v="3"/>
    <n v="4.24"/>
    <s v="Mrs. Johnson"/>
    <n v="241000"/>
  </r>
  <r>
    <d v="2025-08-30T00:00:00"/>
    <x v="1"/>
    <s v="MSH-03"/>
    <n v="4"/>
    <n v="28.5"/>
    <n v="140.80000000000001"/>
    <n v="1"/>
    <n v="8"/>
    <x v="6"/>
    <n v="7.125"/>
    <s v="Mrs. Adisa"/>
    <n v="633000"/>
  </r>
  <r>
    <d v="2025-12-20T00:00:00"/>
    <x v="3"/>
    <s v="EPE-02"/>
    <n v="3"/>
    <n v="15.3"/>
    <n v="100"/>
    <n v="1"/>
    <n v="12"/>
    <x v="11"/>
    <n v="5.1000000000000005"/>
    <s v="Mr. Ogunleye"/>
    <n v="181000"/>
  </r>
  <r>
    <d v="2025-08-05T00:00:00"/>
    <x v="1"/>
    <s v="MSH-01"/>
    <n v="2"/>
    <n v="11.8"/>
    <n v="84.1"/>
    <n v="0"/>
    <n v="8"/>
    <x v="6"/>
    <n v="5.9"/>
    <s v="Mrs. Adisa"/>
    <n v="633000"/>
  </r>
  <r>
    <d v="2025-09-25T00:00:00"/>
    <x v="3"/>
    <s v="EPE-02"/>
    <n v="6"/>
    <n v="20.5"/>
    <n v="178.4"/>
    <n v="0"/>
    <n v="9"/>
    <x v="10"/>
    <n v="3.4166666666666665"/>
    <s v="Mr. Ogunleye"/>
    <n v="181000"/>
  </r>
  <r>
    <d v="2025-01-10T00:00:00"/>
    <x v="0"/>
    <s v="ALM-04"/>
    <n v="5"/>
    <n v="38.4"/>
    <n v="194.7"/>
    <n v="1"/>
    <n v="1"/>
    <x v="0"/>
    <n v="7.68"/>
    <s v="Mr. Bello"/>
    <n v="1288000"/>
  </r>
  <r>
    <d v="2025-04-03T00:00:00"/>
    <x v="0"/>
    <s v="ALM-01"/>
    <n v="3"/>
    <n v="25.3"/>
    <n v="103.8"/>
    <n v="1"/>
    <n v="4"/>
    <x v="8"/>
    <n v="8.4333333333333336"/>
    <s v="Mr. Bello"/>
    <n v="1288000"/>
  </r>
  <r>
    <d v="2025-04-29T00:00:00"/>
    <x v="6"/>
    <s v="LKK-02"/>
    <n v="6"/>
    <n v="30.4"/>
    <n v="151.1"/>
    <n v="2"/>
    <n v="4"/>
    <x v="8"/>
    <n v="5.0666666666666664"/>
    <s v="Mr. Salami"/>
    <n v="200000"/>
  </r>
  <r>
    <d v="2025-05-16T00:00:00"/>
    <x v="7"/>
    <s v="SRL-01"/>
    <n v="3"/>
    <n v="16.2"/>
    <n v="107.2"/>
    <n v="2"/>
    <n v="5"/>
    <x v="3"/>
    <n v="5.3999999999999995"/>
    <s v="Mrs. Okafor"/>
    <n v="503000"/>
  </r>
  <r>
    <d v="2025-06-10T00:00:00"/>
    <x v="1"/>
    <s v="MSH-03"/>
    <n v="5"/>
    <n v="34.200000000000003"/>
    <n v="229.8"/>
    <n v="1"/>
    <n v="6"/>
    <x v="7"/>
    <n v="6.8400000000000007"/>
    <s v="Mrs. Adisa"/>
    <n v="633000"/>
  </r>
  <r>
    <d v="2025-10-01T00:00:00"/>
    <x v="7"/>
    <s v="SRL-01"/>
    <n v="5"/>
    <n v="34"/>
    <n v="152.69999999999999"/>
    <n v="1"/>
    <n v="10"/>
    <x v="9"/>
    <n v="6.8"/>
    <s v="Mrs. Okafor"/>
    <n v="503000"/>
  </r>
  <r>
    <d v="2025-03-25T00:00:00"/>
    <x v="6"/>
    <s v="LKK-02"/>
    <n v="3"/>
    <m/>
    <n v="97.7"/>
    <n v="0"/>
    <n v="3"/>
    <x v="2"/>
    <m/>
    <s v="Mr. Salami"/>
    <n v="200000"/>
  </r>
  <r>
    <d v="2025-06-12T00:00:00"/>
    <x v="0"/>
    <s v="ALM-04"/>
    <n v="2"/>
    <n v="15.3"/>
    <n v="66.5"/>
    <n v="1"/>
    <n v="6"/>
    <x v="7"/>
    <n v="7.65"/>
    <s v="Mr. Bello"/>
    <n v="1288000"/>
  </r>
  <r>
    <d v="2025-10-22T00:00:00"/>
    <x v="3"/>
    <s v="EPE-02"/>
    <n v="6"/>
    <n v="23.8"/>
    <n v="224"/>
    <n v="2"/>
    <n v="10"/>
    <x v="9"/>
    <n v="3.9666666666666668"/>
    <s v="Mr. Ogunleye"/>
    <n v="181000"/>
  </r>
  <r>
    <d v="2025-06-27T00:00:00"/>
    <x v="1"/>
    <s v="MSH-03"/>
    <n v="5"/>
    <n v="39.4"/>
    <m/>
    <n v="3"/>
    <n v="6"/>
    <x v="7"/>
    <n v="7.88"/>
    <s v="Mrs. Adisa"/>
    <n v="633000"/>
  </r>
  <r>
    <d v="2025-04-02T00:00:00"/>
    <x v="2"/>
    <s v="BDG-01"/>
    <n v="4"/>
    <n v="17.5"/>
    <n v="161.4"/>
    <n v="2"/>
    <n v="4"/>
    <x v="8"/>
    <n v="4.375"/>
    <s v="Mrs. Johnson"/>
    <n v="241000"/>
  </r>
  <r>
    <d v="2025-05-20T00:00:00"/>
    <x v="7"/>
    <s v="SRL-03"/>
    <n v="4"/>
    <n v="25.6"/>
    <n v="151.80000000000001"/>
    <n v="0"/>
    <n v="5"/>
    <x v="3"/>
    <n v="6.4"/>
    <s v="Mrs. Okafor"/>
    <n v="503000"/>
  </r>
  <r>
    <d v="2025-09-20T00:00:00"/>
    <x v="4"/>
    <s v="IKD-02"/>
    <n v="5"/>
    <n v="20.6"/>
    <n v="230"/>
    <n v="1"/>
    <n v="9"/>
    <x v="10"/>
    <n v="4.12"/>
    <s v="Mrs. Eze"/>
    <n v="535000"/>
  </r>
  <r>
    <d v="2025-11-10T00:00:00"/>
    <x v="1"/>
    <s v="MSH-03"/>
    <n v="2"/>
    <n v="12.5"/>
    <n v="92"/>
    <n v="2"/>
    <n v="11"/>
    <x v="4"/>
    <n v="6.25"/>
    <s v="Mrs. Adisa"/>
    <n v="633000"/>
  </r>
  <r>
    <d v="2025-01-19T00:00:00"/>
    <x v="1"/>
    <s v="MSH-02"/>
    <n v="4"/>
    <n v="28.9"/>
    <n v="159.80000000000001"/>
    <n v="1"/>
    <n v="1"/>
    <x v="0"/>
    <n v="7.2249999999999996"/>
    <s v="Mrs. Adisa"/>
    <n v="633000"/>
  </r>
  <r>
    <d v="2025-09-14T00:00:00"/>
    <x v="2"/>
    <s v="BDG-02"/>
    <n v="3"/>
    <n v="12"/>
    <n v="116.5"/>
    <n v="2"/>
    <n v="9"/>
    <x v="10"/>
    <n v="4"/>
    <s v="Mrs. Johnson"/>
    <n v="241000"/>
  </r>
  <r>
    <d v="2025-09-06T00:00:00"/>
    <x v="6"/>
    <s v=""/>
    <n v="3"/>
    <n v="21.8"/>
    <n v="118.5"/>
    <n v="2"/>
    <n v="9"/>
    <x v="10"/>
    <n v="7.2666666666666666"/>
    <s v="Mr. Salami"/>
    <n v="200000"/>
  </r>
  <r>
    <d v="2025-04-28T00:00:00"/>
    <x v="5"/>
    <s v="IKJ-02"/>
    <n v="5"/>
    <n v="34.799999999999997"/>
    <n v="192.2"/>
    <n v="1"/>
    <n v="4"/>
    <x v="8"/>
    <n v="6.9599999999999991"/>
    <s v="Mr. Adeyemi"/>
    <n v="313000"/>
  </r>
  <r>
    <d v="2025-12-28T00:00:00"/>
    <x v="2"/>
    <s v="BDG-02"/>
    <n v="2"/>
    <m/>
    <n v="70.599999999999994"/>
    <n v="2"/>
    <n v="12"/>
    <x v="11"/>
    <m/>
    <s v="Mrs. Johnson"/>
    <n v="241000"/>
  </r>
  <r>
    <d v="2025-08-12T00:00:00"/>
    <x v="4"/>
    <s v="IKD-01"/>
    <n v="3"/>
    <n v="12.7"/>
    <n v="111.1"/>
    <n v="0"/>
    <n v="8"/>
    <x v="6"/>
    <n v="4.2333333333333334"/>
    <s v="Mrs. Eze"/>
    <n v="535000"/>
  </r>
  <r>
    <d v="2025-02-07T00:00:00"/>
    <x v="6"/>
    <s v="LKK-02"/>
    <n v="5"/>
    <n v="29.9"/>
    <n v="196.6"/>
    <n v="0"/>
    <n v="2"/>
    <x v="5"/>
    <n v="5.9799999999999995"/>
    <s v="Mr. Salami"/>
    <n v="200000"/>
  </r>
  <r>
    <d v="2025-08-13T00:00:00"/>
    <x v="3"/>
    <s v="EPE-01"/>
    <n v="5"/>
    <n v="11.7"/>
    <n v="213.4"/>
    <n v="3"/>
    <n v="8"/>
    <x v="6"/>
    <n v="2.34"/>
    <s v="Mr. Ogunleye"/>
    <n v="181000"/>
  </r>
  <r>
    <d v="2025-08-11T00:00:00"/>
    <x v="3"/>
    <s v="EPE-01"/>
    <n v="5"/>
    <n v="15.8"/>
    <n v="176.3"/>
    <n v="3"/>
    <n v="8"/>
    <x v="6"/>
    <n v="3.16"/>
    <s v="Mr. Ogunleye"/>
    <n v="181000"/>
  </r>
  <r>
    <d v="2025-02-06T00:00:00"/>
    <x v="2"/>
    <s v="BDG-01"/>
    <n v="4"/>
    <n v="14"/>
    <n v="160.4"/>
    <n v="2"/>
    <n v="2"/>
    <x v="5"/>
    <n v="3.5"/>
    <s v="Mrs. Johnson"/>
    <n v="241000"/>
  </r>
  <r>
    <d v="2025-02-14T00:00:00"/>
    <x v="4"/>
    <s v="IKD-03"/>
    <n v="2"/>
    <n v="7.7"/>
    <n v="88.9"/>
    <n v="2"/>
    <n v="2"/>
    <x v="5"/>
    <n v="3.85"/>
    <s v="Mrs. Eze"/>
    <n v="535000"/>
  </r>
  <r>
    <d v="2025-07-01T00:00:00"/>
    <x v="3"/>
    <s v="EPE-01"/>
    <n v="6"/>
    <n v="24.2"/>
    <n v="170.7"/>
    <n v="1"/>
    <n v="7"/>
    <x v="1"/>
    <n v="4.0333333333333332"/>
    <s v="Mr. Ogunleye"/>
    <n v="181000"/>
  </r>
  <r>
    <d v="2025-04-12T00:00:00"/>
    <x v="6"/>
    <s v="LKK-02"/>
    <n v="6"/>
    <n v="32.1"/>
    <n v="222.4"/>
    <n v="2"/>
    <n v="4"/>
    <x v="8"/>
    <n v="5.3500000000000005"/>
    <s v="Mr. Salami"/>
    <n v="200000"/>
  </r>
  <r>
    <d v="2025-09-24T00:00:00"/>
    <x v="0"/>
    <s v="ALM-02"/>
    <n v="2"/>
    <n v="14.9"/>
    <n v="65.7"/>
    <n v="2"/>
    <n v="9"/>
    <x v="10"/>
    <n v="7.45"/>
    <s v="Mr. Bello"/>
    <n v="1288000"/>
  </r>
  <r>
    <d v="2025-04-13T00:00:00"/>
    <x v="3"/>
    <s v="EPE-02"/>
    <n v="2"/>
    <n v="7.3"/>
    <n v="45.3"/>
    <n v="1"/>
    <n v="4"/>
    <x v="8"/>
    <n v="3.65"/>
    <s v="Mr. Ogunleye"/>
    <n v="181000"/>
  </r>
  <r>
    <d v="2025-12-17T00:00:00"/>
    <x v="6"/>
    <s v="LKK-02"/>
    <n v="5"/>
    <n v="28.3"/>
    <n v="225.1"/>
    <n v="3"/>
    <n v="12"/>
    <x v="11"/>
    <n v="5.66"/>
    <s v="Mr. Salami"/>
    <n v="200000"/>
  </r>
  <r>
    <d v="2025-07-23T00:00:00"/>
    <x v="1"/>
    <s v=""/>
    <n v="5"/>
    <n v="38.700000000000003"/>
    <n v="203.9"/>
    <n v="3"/>
    <n v="7"/>
    <x v="1"/>
    <n v="7.74"/>
    <s v="Mrs. Adisa"/>
    <n v="633000"/>
  </r>
  <r>
    <d v="2025-07-07T00:00:00"/>
    <x v="6"/>
    <s v="LKK-01"/>
    <n v="2"/>
    <n v="10.7"/>
    <n v="86.4"/>
    <n v="0"/>
    <n v="7"/>
    <x v="1"/>
    <n v="5.35"/>
    <s v="Mr. Salami"/>
    <n v="200000"/>
  </r>
  <r>
    <d v="2025-05-10T00:00:00"/>
    <x v="2"/>
    <s v="BDG-02"/>
    <n v="2"/>
    <n v="7.9"/>
    <n v="79.8"/>
    <n v="2"/>
    <n v="5"/>
    <x v="3"/>
    <n v="3.95"/>
    <s v="Mrs. Johnson"/>
    <n v="241000"/>
  </r>
  <r>
    <d v="2025-10-27T00:00:00"/>
    <x v="1"/>
    <s v="MSH-02"/>
    <n v="5"/>
    <n v="34.1"/>
    <n v="178.5"/>
    <n v="2"/>
    <n v="10"/>
    <x v="9"/>
    <n v="6.82"/>
    <s v="Mrs. Adisa"/>
    <n v="633000"/>
  </r>
  <r>
    <d v="2025-07-27T00:00:00"/>
    <x v="2"/>
    <s v="BDG-02"/>
    <n v="3"/>
    <n v="10"/>
    <n v="121.3"/>
    <n v="3"/>
    <n v="7"/>
    <x v="1"/>
    <n v="3.3333333333333335"/>
    <s v="Mrs. Johnson"/>
    <n v="241000"/>
  </r>
  <r>
    <d v="2025-05-20T00:00:00"/>
    <x v="3"/>
    <s v="EPE-02"/>
    <n v="3"/>
    <n v="11.1"/>
    <n v="121.1"/>
    <n v="2"/>
    <n v="5"/>
    <x v="3"/>
    <n v="3.6999999999999997"/>
    <s v="Mr. Ogunleye"/>
    <n v="181000"/>
  </r>
  <r>
    <d v="2025-08-07T00:00:00"/>
    <x v="7"/>
    <s v="SRL-03"/>
    <n v="5"/>
    <n v="32.6"/>
    <n v="179.5"/>
    <n v="1"/>
    <n v="8"/>
    <x v="6"/>
    <n v="6.5200000000000005"/>
    <s v="Mrs. Okafor"/>
    <n v="503000"/>
  </r>
  <r>
    <d v="2025-05-14T00:00:00"/>
    <x v="6"/>
    <s v="LKK-02"/>
    <n v="4"/>
    <n v="28.4"/>
    <n v="160.69999999999999"/>
    <n v="1"/>
    <n v="5"/>
    <x v="3"/>
    <n v="7.1"/>
    <s v="Mr. Salami"/>
    <n v="200000"/>
  </r>
  <r>
    <d v="2025-04-04T00:00:00"/>
    <x v="5"/>
    <s v="IKJ-02"/>
    <n v="2"/>
    <n v="13.6"/>
    <n v="57.5"/>
    <m/>
    <n v="4"/>
    <x v="8"/>
    <n v="6.8"/>
    <s v="Mr. Adeyemi"/>
    <n v="313000"/>
  </r>
  <r>
    <d v="2025-12-31T00:00:00"/>
    <x v="7"/>
    <s v="SRL-02"/>
    <n v="3"/>
    <n v="22.7"/>
    <n v="114.1"/>
    <n v="1"/>
    <n v="12"/>
    <x v="11"/>
    <n v="7.5666666666666664"/>
    <s v="Mrs. Okafor"/>
    <n v="503000"/>
  </r>
  <r>
    <d v="2025-03-07T00:00:00"/>
    <x v="1"/>
    <s v="MSH-01"/>
    <n v="4"/>
    <n v="26.4"/>
    <n v="139"/>
    <n v="0"/>
    <n v="3"/>
    <x v="2"/>
    <n v="6.6"/>
    <s v="Mrs. Adisa"/>
    <n v="633000"/>
  </r>
  <r>
    <d v="2025-09-30T00:00:00"/>
    <x v="1"/>
    <s v="MSH-01"/>
    <n v="4"/>
    <n v="28.2"/>
    <n v="191.9"/>
    <n v="1"/>
    <n v="9"/>
    <x v="10"/>
    <n v="7.05"/>
    <s v="Mrs. Adisa"/>
    <n v="633000"/>
  </r>
  <r>
    <d v="2025-09-01T00:00:00"/>
    <x v="2"/>
    <s v="BDG-02"/>
    <n v="2"/>
    <n v="7.7"/>
    <n v="63.4"/>
    <n v="4"/>
    <n v="9"/>
    <x v="10"/>
    <n v="3.85"/>
    <s v="Mrs. Johnson"/>
    <n v="241000"/>
  </r>
  <r>
    <d v="2025-02-16T00:00:00"/>
    <x v="7"/>
    <s v="SRL-03"/>
    <n v="6"/>
    <n v="31.5"/>
    <n v="224.2"/>
    <n v="1"/>
    <n v="2"/>
    <x v="5"/>
    <n v="5.25"/>
    <s v="Mrs. Okafor"/>
    <n v="503000"/>
  </r>
  <r>
    <d v="2025-07-23T00:00:00"/>
    <x v="4"/>
    <s v="IKD-01"/>
    <n v="4"/>
    <m/>
    <n v="128"/>
    <n v="3"/>
    <n v="7"/>
    <x v="1"/>
    <m/>
    <s v="Mrs. Eze"/>
    <n v="535000"/>
  </r>
  <r>
    <d v="2025-08-29T00:00:00"/>
    <x v="5"/>
    <s v="IKJ-01"/>
    <n v="2"/>
    <n v="14.4"/>
    <n v="84.2"/>
    <n v="0"/>
    <n v="8"/>
    <x v="6"/>
    <n v="7.2"/>
    <s v="Mr. Adeyemi"/>
    <n v="313000"/>
  </r>
  <r>
    <d v="2025-07-11T00:00:00"/>
    <x v="0"/>
    <s v="ALM-04"/>
    <n v="5"/>
    <n v="29.8"/>
    <n v="188.7"/>
    <n v="1"/>
    <n v="7"/>
    <x v="1"/>
    <n v="5.96"/>
    <s v="Mr. Bello"/>
    <n v="1288000"/>
  </r>
  <r>
    <d v="2025-02-03T00:00:00"/>
    <x v="0"/>
    <s v="ALM-01"/>
    <n v="5"/>
    <n v="29.8"/>
    <n v="173.6"/>
    <n v="2"/>
    <n v="2"/>
    <x v="5"/>
    <n v="5.96"/>
    <s v="Mr. Bello"/>
    <n v="1288000"/>
  </r>
  <r>
    <d v="2025-03-31T00:00:00"/>
    <x v="7"/>
    <s v="SRL-01"/>
    <n v="5"/>
    <n v="35.6"/>
    <n v="199.6"/>
    <n v="1"/>
    <n v="3"/>
    <x v="2"/>
    <n v="7.12"/>
    <s v="Mrs. Okafor"/>
    <n v="503000"/>
  </r>
  <r>
    <d v="2025-10-29T00:00:00"/>
    <x v="4"/>
    <s v="IKD-03"/>
    <n v="5"/>
    <n v="25"/>
    <n v="212.4"/>
    <n v="1"/>
    <n v="10"/>
    <x v="9"/>
    <n v="5"/>
    <s v="Mrs. Eze"/>
    <n v="535000"/>
  </r>
  <r>
    <d v="2025-08-27T00:00:00"/>
    <x v="4"/>
    <s v="IKD-03"/>
    <n v="3"/>
    <n v="12.4"/>
    <n v="110.3"/>
    <n v="0"/>
    <n v="8"/>
    <x v="6"/>
    <n v="4.1333333333333337"/>
    <s v="Mrs. Eze"/>
    <n v="535000"/>
  </r>
  <r>
    <d v="2025-09-06T00:00:00"/>
    <x v="6"/>
    <s v="LKK-01"/>
    <n v="3"/>
    <n v="16.399999999999999"/>
    <n v="106.9"/>
    <n v="2"/>
    <n v="9"/>
    <x v="10"/>
    <n v="5.4666666666666659"/>
    <s v="Mr. Salami"/>
    <n v="200000"/>
  </r>
  <r>
    <d v="2025-12-10T00:00:00"/>
    <x v="3"/>
    <s v="EPE-02"/>
    <n v="2"/>
    <n v="9.6999999999999993"/>
    <n v="81.5"/>
    <n v="2"/>
    <n v="12"/>
    <x v="11"/>
    <n v="4.8499999999999996"/>
    <s v="Mr. Ogunleye"/>
    <n v="181000"/>
  </r>
  <r>
    <d v="2025-08-19T00:00:00"/>
    <x v="0"/>
    <s v="ALM-04"/>
    <n v="5"/>
    <n v="30.5"/>
    <n v="196.7"/>
    <n v="3"/>
    <n v="8"/>
    <x v="6"/>
    <n v="6.1"/>
    <s v="Mr. Bello"/>
    <n v="1288000"/>
  </r>
  <r>
    <d v="2025-03-12T00:00:00"/>
    <x v="6"/>
    <s v="LKK-02"/>
    <n v="6"/>
    <n v="30.1"/>
    <n v="242.1"/>
    <n v="2"/>
    <n v="3"/>
    <x v="2"/>
    <n v="5.0166666666666666"/>
    <s v="Mr. Salami"/>
    <n v="200000"/>
  </r>
  <r>
    <d v="2025-09-08T00:00:00"/>
    <x v="0"/>
    <s v="ALM-04"/>
    <n v="6"/>
    <n v="52.4"/>
    <m/>
    <n v="1"/>
    <n v="9"/>
    <x v="10"/>
    <n v="8.7333333333333325"/>
    <s v="Mr. Bello"/>
    <n v="1288000"/>
  </r>
  <r>
    <d v="2025-10-13T00:00:00"/>
    <x v="4"/>
    <s v="IKD-03"/>
    <n v="2"/>
    <n v="8.8000000000000007"/>
    <n v="100.5"/>
    <n v="0"/>
    <n v="10"/>
    <x v="9"/>
    <n v="4.4000000000000004"/>
    <s v="Mrs. Eze"/>
    <n v="535000"/>
  </r>
  <r>
    <d v="2025-05-06T00:00:00"/>
    <x v="1"/>
    <s v="MSH-01"/>
    <n v="4"/>
    <n v="26.8"/>
    <n v="145.9"/>
    <n v="0"/>
    <n v="5"/>
    <x v="3"/>
    <n v="6.7"/>
    <s v="Mrs. Adisa"/>
    <n v="633000"/>
  </r>
  <r>
    <d v="2025-11-17T00:00:00"/>
    <x v="1"/>
    <s v="MSH-03"/>
    <n v="2"/>
    <n v="18.100000000000001"/>
    <n v="79.7"/>
    <n v="0"/>
    <n v="11"/>
    <x v="4"/>
    <n v="9.0500000000000007"/>
    <s v="Mrs. Adisa"/>
    <n v="633000"/>
  </r>
  <r>
    <d v="2025-01-12T00:00:00"/>
    <x v="6"/>
    <s v="LKK-02"/>
    <n v="5"/>
    <n v="27.1"/>
    <n v="182"/>
    <n v="1"/>
    <n v="1"/>
    <x v="0"/>
    <n v="5.42"/>
    <s v="Mr. Salami"/>
    <n v="200000"/>
  </r>
  <r>
    <d v="2025-03-08T00:00:00"/>
    <x v="5"/>
    <s v="IKJ-03"/>
    <n v="2"/>
    <n v="12.6"/>
    <n v="75.8"/>
    <n v="1"/>
    <n v="3"/>
    <x v="2"/>
    <n v="6.3"/>
    <s v="Mr. Adeyemi"/>
    <n v="313000"/>
  </r>
  <r>
    <d v="2025-01-10T00:00:00"/>
    <x v="7"/>
    <s v="SRL-03"/>
    <n v="2"/>
    <n v="10.7"/>
    <n v="75.400000000000006"/>
    <n v="2"/>
    <n v="1"/>
    <x v="0"/>
    <n v="5.35"/>
    <s v="Mrs. Okafor"/>
    <n v="503000"/>
  </r>
  <r>
    <d v="2025-03-14T00:00:00"/>
    <x v="5"/>
    <s v="IKJ-02"/>
    <n v="3"/>
    <n v="17.2"/>
    <n v="117.4"/>
    <n v="1"/>
    <n v="3"/>
    <x v="2"/>
    <n v="5.7333333333333334"/>
    <s v="Mr. Adeyemi"/>
    <n v="313000"/>
  </r>
  <r>
    <d v="2025-05-29T00:00:00"/>
    <x v="3"/>
    <s v="EPE-02"/>
    <n v="4"/>
    <n v="12.3"/>
    <n v="135.9"/>
    <n v="2"/>
    <n v="5"/>
    <x v="3"/>
    <n v="3.0750000000000002"/>
    <s v="Mr. Ogunleye"/>
    <n v="181000"/>
  </r>
  <r>
    <d v="2025-02-06T00:00:00"/>
    <x v="3"/>
    <s v="EPE-01"/>
    <n v="2"/>
    <n v="6.5"/>
    <n v="52.3"/>
    <n v="1"/>
    <n v="2"/>
    <x v="5"/>
    <n v="3.25"/>
    <s v="Mr. Ogunleye"/>
    <n v="181000"/>
  </r>
  <r>
    <d v="2025-07-05T00:00:00"/>
    <x v="4"/>
    <s v="IKD-02"/>
    <n v="5"/>
    <n v="24.5"/>
    <n v="241.9"/>
    <n v="1"/>
    <n v="7"/>
    <x v="1"/>
    <n v="4.9000000000000004"/>
    <s v="Mrs. Eze"/>
    <n v="535000"/>
  </r>
  <r>
    <d v="2025-05-08T00:00:00"/>
    <x v="6"/>
    <s v="LKK-02"/>
    <n v="3"/>
    <n v="19.399999999999999"/>
    <n v="115.1"/>
    <n v="0"/>
    <n v="5"/>
    <x v="3"/>
    <n v="6.4666666666666659"/>
    <s v="Mr. Salami"/>
    <n v="200000"/>
  </r>
  <r>
    <d v="2025-03-21T00:00:00"/>
    <x v="0"/>
    <s v="ALM-04"/>
    <n v="5"/>
    <n v="40.9"/>
    <n v="173.9"/>
    <n v="0"/>
    <n v="3"/>
    <x v="2"/>
    <n v="8.18"/>
    <s v="Mr. Bello"/>
    <n v="1288000"/>
  </r>
  <r>
    <d v="2025-06-09T00:00:00"/>
    <x v="0"/>
    <s v="ALM-01"/>
    <n v="6"/>
    <n v="41.4"/>
    <n v="189.7"/>
    <n v="0"/>
    <n v="6"/>
    <x v="7"/>
    <n v="6.8999999999999995"/>
    <s v="Mr. Bello"/>
    <n v="1288000"/>
  </r>
  <r>
    <d v="2025-12-27T00:00:00"/>
    <x v="3"/>
    <s v="EPE-02"/>
    <n v="2"/>
    <n v="5.3"/>
    <n v="58.8"/>
    <n v="2"/>
    <n v="12"/>
    <x v="11"/>
    <n v="2.65"/>
    <s v="Mr. Ogunleye"/>
    <n v="181000"/>
  </r>
  <r>
    <d v="2025-07-01T00:00:00"/>
    <x v="6"/>
    <s v="LKK-02"/>
    <n v="3"/>
    <n v="15.6"/>
    <n v="81.099999999999994"/>
    <n v="1"/>
    <n v="7"/>
    <x v="1"/>
    <n v="5.2"/>
    <s v="Mr. Salami"/>
    <n v="200000"/>
  </r>
  <r>
    <d v="2025-12-10T00:00:00"/>
    <x v="4"/>
    <s v="IKD-01"/>
    <n v="3"/>
    <n v="16"/>
    <n v="112.3"/>
    <n v="4"/>
    <n v="12"/>
    <x v="11"/>
    <n v="5.333333333333333"/>
    <s v="Mrs. Eze"/>
    <n v="535000"/>
  </r>
  <r>
    <d v="2025-08-15T00:00:00"/>
    <x v="4"/>
    <s v="IKD-03"/>
    <n v="4"/>
    <n v="16.8"/>
    <n v="186.4"/>
    <n v="4"/>
    <n v="8"/>
    <x v="6"/>
    <n v="4.2"/>
    <s v="Mrs. Eze"/>
    <n v="535000"/>
  </r>
  <r>
    <d v="2025-01-19T00:00:00"/>
    <x v="6"/>
    <s v="LKK-02"/>
    <n v="6"/>
    <n v="25"/>
    <n v="224.5"/>
    <n v="2"/>
    <n v="1"/>
    <x v="0"/>
    <n v="4.166666666666667"/>
    <s v="Mr. Salami"/>
    <n v="200000"/>
  </r>
  <r>
    <d v="2025-07-29T00:00:00"/>
    <x v="7"/>
    <s v="SRL-01"/>
    <n v="6"/>
    <n v="32.700000000000003"/>
    <n v="215.7"/>
    <n v="0"/>
    <n v="7"/>
    <x v="1"/>
    <n v="5.45"/>
    <s v="Mrs. Okafor"/>
    <n v="503000"/>
  </r>
  <r>
    <d v="2025-07-18T00:00:00"/>
    <x v="5"/>
    <s v="IKJ-03"/>
    <n v="6"/>
    <n v="36.5"/>
    <n v="285.8"/>
    <n v="0"/>
    <n v="7"/>
    <x v="1"/>
    <n v="6.083333333333333"/>
    <s v="Mr. Adeyemi"/>
    <n v="313000"/>
  </r>
  <r>
    <d v="2025-05-25T00:00:00"/>
    <x v="7"/>
    <s v="SRL-02"/>
    <n v="2"/>
    <n v="12.1"/>
    <n v="74"/>
    <n v="1"/>
    <n v="5"/>
    <x v="3"/>
    <n v="6.05"/>
    <s v="Mrs. Okafor"/>
    <n v="503000"/>
  </r>
  <r>
    <d v="2025-12-11T00:00:00"/>
    <x v="2"/>
    <s v="BDG-01"/>
    <n v="3"/>
    <n v="13.4"/>
    <n v="131.80000000000001"/>
    <n v="2"/>
    <n v="12"/>
    <x v="11"/>
    <n v="4.4666666666666668"/>
    <s v="Mrs. Johnson"/>
    <n v="241000"/>
  </r>
  <r>
    <d v="2025-04-24T00:00:00"/>
    <x v="3"/>
    <s v="EPE-01"/>
    <n v="6"/>
    <n v="19.100000000000001"/>
    <n v="244.9"/>
    <n v="1"/>
    <n v="4"/>
    <x v="8"/>
    <n v="3.1833333333333336"/>
    <s v="Mr. Ogunleye"/>
    <n v="181000"/>
  </r>
  <r>
    <d v="2025-08-10T00:00:00"/>
    <x v="3"/>
    <s v="EPE-02"/>
    <n v="5"/>
    <n v="13.7"/>
    <n v="169.9"/>
    <n v="1"/>
    <n v="8"/>
    <x v="6"/>
    <n v="2.7399999999999998"/>
    <s v="Mr. Ogunleye"/>
    <n v="181000"/>
  </r>
  <r>
    <d v="2025-07-08T00:00:00"/>
    <x v="4"/>
    <s v="IKD-03"/>
    <n v="5"/>
    <n v="16.5"/>
    <n v="219.6"/>
    <n v="0"/>
    <n v="7"/>
    <x v="1"/>
    <n v="3.3"/>
    <s v="Mrs. Eze"/>
    <n v="535000"/>
  </r>
  <r>
    <d v="2025-03-15T00:00:00"/>
    <x v="3"/>
    <s v="EPE-02"/>
    <n v="6"/>
    <n v="22.6"/>
    <n v="286.5"/>
    <n v="2"/>
    <n v="3"/>
    <x v="2"/>
    <n v="3.7666666666666671"/>
    <s v="Mr. Ogunleye"/>
    <n v="181000"/>
  </r>
  <r>
    <d v="2025-02-13T00:00:00"/>
    <x v="4"/>
    <s v="IKD-03"/>
    <n v="2"/>
    <n v="8.6"/>
    <n v="80.900000000000006"/>
    <n v="3"/>
    <n v="2"/>
    <x v="5"/>
    <n v="4.3"/>
    <s v="Mrs. Eze"/>
    <n v="535000"/>
  </r>
  <r>
    <d v="2025-05-13T00:00:00"/>
    <x v="4"/>
    <s v="IKD-03"/>
    <n v="2"/>
    <n v="7.9"/>
    <n v="69.8"/>
    <n v="4"/>
    <n v="5"/>
    <x v="3"/>
    <n v="3.95"/>
    <s v="Mrs. Eze"/>
    <n v="535000"/>
  </r>
  <r>
    <d v="2025-01-01T00:00:00"/>
    <x v="4"/>
    <s v="IKD-02"/>
    <n v="5"/>
    <n v="23.1"/>
    <n v="165.5"/>
    <n v="3"/>
    <n v="1"/>
    <x v="0"/>
    <n v="4.62"/>
    <s v="Mrs. Eze"/>
    <n v="535000"/>
  </r>
  <r>
    <d v="2025-11-08T00:00:00"/>
    <x v="6"/>
    <s v="LKK-01"/>
    <n v="5"/>
    <n v="28.7"/>
    <n v="199.2"/>
    <n v="2"/>
    <n v="11"/>
    <x v="4"/>
    <n v="5.74"/>
    <s v="Mr. Salami"/>
    <n v="200000"/>
  </r>
  <r>
    <d v="2025-04-01T00:00:00"/>
    <x v="4"/>
    <s v="IKD-02"/>
    <n v="3"/>
    <n v="12.6"/>
    <n v="105.6"/>
    <n v="3"/>
    <n v="4"/>
    <x v="8"/>
    <n v="4.2"/>
    <s v="Mrs. Eze"/>
    <n v="535000"/>
  </r>
  <r>
    <d v="2025-08-29T00:00:00"/>
    <x v="4"/>
    <s v="IKD-02"/>
    <n v="4"/>
    <n v="16"/>
    <n v="131"/>
    <n v="0"/>
    <n v="8"/>
    <x v="6"/>
    <n v="4"/>
    <s v="Mrs. Eze"/>
    <n v="535000"/>
  </r>
  <r>
    <d v="2025-12-22T00:00:00"/>
    <x v="4"/>
    <s v="IKD-01"/>
    <n v="4"/>
    <n v="18.8"/>
    <n v="161.9"/>
    <n v="2"/>
    <n v="12"/>
    <x v="11"/>
    <n v="4.7"/>
    <s v="Mrs. Eze"/>
    <n v="535000"/>
  </r>
  <r>
    <d v="2025-12-30T00:00:00"/>
    <x v="4"/>
    <s v="IKD-01"/>
    <n v="5"/>
    <n v="28.5"/>
    <n v="204.9"/>
    <n v="5"/>
    <n v="12"/>
    <x v="11"/>
    <n v="5.7"/>
    <s v="Mrs. Eze"/>
    <n v="535000"/>
  </r>
  <r>
    <d v="2025-06-14T00:00:00"/>
    <x v="5"/>
    <s v="IKJ-01"/>
    <n v="3"/>
    <n v="19.100000000000001"/>
    <n v="97.3"/>
    <n v="1"/>
    <n v="6"/>
    <x v="7"/>
    <n v="6.3666666666666671"/>
    <s v="Mr. Adeyemi"/>
    <n v="313000"/>
  </r>
  <r>
    <d v="2025-01-17T00:00:00"/>
    <x v="5"/>
    <s v="IKJ-03"/>
    <n v="6"/>
    <n v="41.6"/>
    <m/>
    <n v="1"/>
    <n v="1"/>
    <x v="0"/>
    <n v="6.9333333333333336"/>
    <s v="Mr. Adeyemi"/>
    <n v="313000"/>
  </r>
  <r>
    <d v="2025-09-07T00:00:00"/>
    <x v="7"/>
    <s v="SRL-01"/>
    <n v="5"/>
    <n v="32.4"/>
    <n v="191.7"/>
    <n v="3"/>
    <n v="9"/>
    <x v="10"/>
    <n v="6.4799999999999995"/>
    <s v="Mrs. Okafor"/>
    <n v="503000"/>
  </r>
  <r>
    <d v="2025-12-23T00:00:00"/>
    <x v="1"/>
    <s v="MSH-02"/>
    <n v="4"/>
    <n v="33.200000000000003"/>
    <n v="161.69999999999999"/>
    <n v="2"/>
    <n v="12"/>
    <x v="11"/>
    <n v="8.3000000000000007"/>
    <s v="Mrs. Adisa"/>
    <n v="633000"/>
  </r>
  <r>
    <d v="2025-03-11T00:00:00"/>
    <x v="7"/>
    <s v="SRL-01"/>
    <n v="3"/>
    <n v="20.3"/>
    <n v="102.6"/>
    <n v="1"/>
    <n v="3"/>
    <x v="2"/>
    <n v="6.7666666666666666"/>
    <s v="Mrs. Okafor"/>
    <n v="503000"/>
  </r>
  <r>
    <d v="2025-01-20T00:00:00"/>
    <x v="6"/>
    <s v="LKK-01"/>
    <n v="4"/>
    <n v="18.8"/>
    <n v="119.4"/>
    <n v="1"/>
    <n v="1"/>
    <x v="0"/>
    <n v="4.7"/>
    <s v="Mr. Salami"/>
    <n v="200000"/>
  </r>
  <r>
    <d v="2025-12-16T00:00:00"/>
    <x v="5"/>
    <s v="IKJ-03"/>
    <n v="5"/>
    <n v="43.8"/>
    <n v="202.8"/>
    <n v="0"/>
    <n v="12"/>
    <x v="11"/>
    <n v="8.76"/>
    <s v="Mr. Adeyemi"/>
    <n v="313000"/>
  </r>
  <r>
    <d v="2025-02-01T00:00:00"/>
    <x v="4"/>
    <s v="IKD-01"/>
    <n v="6"/>
    <n v="20.8"/>
    <m/>
    <n v="3"/>
    <n v="2"/>
    <x v="5"/>
    <n v="3.4666666666666668"/>
    <s v="Mrs. Eze"/>
    <n v="535000"/>
  </r>
  <r>
    <d v="2025-12-17T00:00:00"/>
    <x v="5"/>
    <s v="IKJ-03"/>
    <n v="5"/>
    <n v="41.7"/>
    <n v="204.3"/>
    <n v="1"/>
    <n v="12"/>
    <x v="11"/>
    <n v="8.34"/>
    <s v="Mr. Adeyemi"/>
    <n v="313000"/>
  </r>
  <r>
    <d v="2025-01-15T00:00:00"/>
    <x v="7"/>
    <s v="SRL-03"/>
    <n v="4"/>
    <n v="21"/>
    <n v="168.8"/>
    <n v="0"/>
    <n v="1"/>
    <x v="0"/>
    <n v="5.25"/>
    <s v="Mrs. Okafor"/>
    <n v="503000"/>
  </r>
  <r>
    <d v="2025-12-21T00:00:00"/>
    <x v="7"/>
    <s v="SRL-03"/>
    <n v="2"/>
    <n v="13"/>
    <n v="85.4"/>
    <n v="0"/>
    <n v="12"/>
    <x v="11"/>
    <n v="6.5"/>
    <s v="Mrs. Okafor"/>
    <n v="503000"/>
  </r>
  <r>
    <d v="2025-07-13T00:00:00"/>
    <x v="6"/>
    <s v="LKK-02"/>
    <n v="4"/>
    <n v="26.9"/>
    <n v="117.2"/>
    <n v="0"/>
    <n v="7"/>
    <x v="1"/>
    <n v="6.7249999999999996"/>
    <s v="Mr. Salami"/>
    <n v="200000"/>
  </r>
  <r>
    <d v="2025-04-06T00:00:00"/>
    <x v="4"/>
    <s v="IKD-01"/>
    <n v="4"/>
    <n v="17"/>
    <n v="174.3"/>
    <n v="4"/>
    <n v="4"/>
    <x v="8"/>
    <n v="4.25"/>
    <s v="Mrs. Eze"/>
    <n v="535000"/>
  </r>
  <r>
    <d v="2025-11-07T00:00:00"/>
    <x v="3"/>
    <s v="EPE-02"/>
    <n v="3"/>
    <n v="14.4"/>
    <n v="116.7"/>
    <n v="3"/>
    <n v="11"/>
    <x v="4"/>
    <n v="4.8"/>
    <s v="Mr. Ogunleye"/>
    <n v="181000"/>
  </r>
  <r>
    <d v="2025-01-29T00:00:00"/>
    <x v="6"/>
    <s v="LKK-02"/>
    <n v="6"/>
    <n v="24.9"/>
    <n v="188.3"/>
    <n v="2"/>
    <n v="1"/>
    <x v="0"/>
    <n v="4.1499999999999995"/>
    <s v="Mr. Salami"/>
    <n v="200000"/>
  </r>
  <r>
    <d v="2025-05-12T00:00:00"/>
    <x v="0"/>
    <s v="ALM-02"/>
    <n v="2"/>
    <n v="16.899999999999999"/>
    <n v="65.099999999999994"/>
    <n v="3"/>
    <n v="5"/>
    <x v="3"/>
    <n v="8.4499999999999993"/>
    <s v="Mr. Bello"/>
    <n v="1288000"/>
  </r>
  <r>
    <d v="2025-11-07T00:00:00"/>
    <x v="5"/>
    <s v="IKJ-02"/>
    <n v="2"/>
    <n v="9.1999999999999993"/>
    <n v="69.8"/>
    <n v="1"/>
    <n v="11"/>
    <x v="4"/>
    <n v="4.5999999999999996"/>
    <s v="Mr. Adeyemi"/>
    <n v="313000"/>
  </r>
  <r>
    <d v="2025-12-23T00:00:00"/>
    <x v="6"/>
    <s v="LKK-02"/>
    <n v="5"/>
    <n v="33.799999999999997"/>
    <n v="189.6"/>
    <n v="1"/>
    <n v="12"/>
    <x v="11"/>
    <n v="6.76"/>
    <s v="Mr. Salami"/>
    <n v="200000"/>
  </r>
  <r>
    <d v="2025-11-24T00:00:00"/>
    <x v="1"/>
    <s v="MSH-03"/>
    <n v="5"/>
    <n v="34.5"/>
    <n v="193.5"/>
    <n v="0"/>
    <n v="11"/>
    <x v="4"/>
    <n v="6.9"/>
    <s v="Mrs. Adisa"/>
    <n v="633000"/>
  </r>
  <r>
    <d v="2025-03-21T00:00:00"/>
    <x v="4"/>
    <s v="IKD-01"/>
    <n v="2"/>
    <n v="8.1999999999999993"/>
    <n v="78.7"/>
    <n v="2"/>
    <n v="3"/>
    <x v="2"/>
    <n v="4.0999999999999996"/>
    <s v="Mrs. Eze"/>
    <n v="535000"/>
  </r>
  <r>
    <d v="2025-09-11T00:00:00"/>
    <x v="0"/>
    <s v="ALM-03"/>
    <n v="5"/>
    <n v="33.299999999999997"/>
    <n v="163.6"/>
    <n v="1"/>
    <n v="9"/>
    <x v="10"/>
    <n v="6.6599999999999993"/>
    <s v="Mr. Bello"/>
    <n v="1288000"/>
  </r>
  <r>
    <d v="2025-08-23T00:00:00"/>
    <x v="6"/>
    <s v="LKK-02"/>
    <n v="2"/>
    <n v="10.199999999999999"/>
    <m/>
    <n v="2"/>
    <n v="8"/>
    <x v="6"/>
    <n v="5.0999999999999996"/>
    <s v="Mr. Salami"/>
    <n v="200000"/>
  </r>
  <r>
    <d v="2025-09-12T00:00:00"/>
    <x v="2"/>
    <s v="BDG-01"/>
    <n v="6"/>
    <n v="23.9"/>
    <n v="238.7"/>
    <n v="5"/>
    <n v="9"/>
    <x v="10"/>
    <n v="3.9833333333333329"/>
    <s v="Mrs. Johnson"/>
    <n v="241000"/>
  </r>
  <r>
    <d v="2025-01-18T00:00:00"/>
    <x v="4"/>
    <s v="IKD-01"/>
    <n v="6"/>
    <n v="28.9"/>
    <n v="214.8"/>
    <n v="0"/>
    <n v="1"/>
    <x v="0"/>
    <n v="4.8166666666666664"/>
    <s v="Mrs. Eze"/>
    <n v="535000"/>
  </r>
  <r>
    <d v="2025-06-14T00:00:00"/>
    <x v="6"/>
    <s v="LKK-01"/>
    <n v="5"/>
    <n v="27.1"/>
    <n v="217.5"/>
    <n v="1"/>
    <n v="6"/>
    <x v="7"/>
    <n v="5.42"/>
    <s v="Mr. Salami"/>
    <n v="200000"/>
  </r>
  <r>
    <d v="2025-03-08T00:00:00"/>
    <x v="4"/>
    <s v="IKD-01"/>
    <n v="6"/>
    <n v="30.8"/>
    <n v="275.2"/>
    <n v="1"/>
    <n v="3"/>
    <x v="2"/>
    <n v="5.1333333333333337"/>
    <s v="Mrs. Eze"/>
    <n v="535000"/>
  </r>
  <r>
    <d v="2025-12-21T00:00:00"/>
    <x v="5"/>
    <s v="IKJ-02"/>
    <n v="5"/>
    <n v="45.4"/>
    <n v="214"/>
    <n v="0"/>
    <n v="12"/>
    <x v="11"/>
    <n v="9.08"/>
    <s v="Mr. Adeyemi"/>
    <n v="313000"/>
  </r>
  <r>
    <d v="2025-05-24T00:00:00"/>
    <x v="2"/>
    <s v="BDG-02"/>
    <n v="6"/>
    <n v="22.2"/>
    <n v="245.7"/>
    <n v="5"/>
    <n v="5"/>
    <x v="3"/>
    <n v="3.6999999999999997"/>
    <s v="Mrs. Johnson"/>
    <n v="241000"/>
  </r>
  <r>
    <d v="2025-03-29T00:00:00"/>
    <x v="4"/>
    <s v="IKD-01"/>
    <n v="2"/>
    <n v="9.4"/>
    <n v="80"/>
    <n v="4"/>
    <n v="3"/>
    <x v="2"/>
    <n v="4.7"/>
    <s v="Mrs. Eze"/>
    <n v="535000"/>
  </r>
  <r>
    <d v="2025-09-25T00:00:00"/>
    <x v="4"/>
    <s v="IKD-03"/>
    <n v="3"/>
    <n v="10.8"/>
    <n v="118.6"/>
    <n v="5"/>
    <n v="9"/>
    <x v="10"/>
    <n v="3.6"/>
    <s v="Mrs. Eze"/>
    <n v="535000"/>
  </r>
  <r>
    <d v="2025-07-15T00:00:00"/>
    <x v="3"/>
    <s v="EPE-02"/>
    <n v="3"/>
    <n v="12.3"/>
    <n v="75.5"/>
    <n v="2"/>
    <n v="7"/>
    <x v="1"/>
    <n v="4.1000000000000005"/>
    <s v="Mr. Ogunleye"/>
    <n v="181000"/>
  </r>
  <r>
    <d v="2025-05-03T00:00:00"/>
    <x v="5"/>
    <s v="IKJ-03"/>
    <n v="4"/>
    <n v="31.1"/>
    <n v="150.5"/>
    <n v="1"/>
    <n v="5"/>
    <x v="3"/>
    <n v="7.7750000000000004"/>
    <s v="Mr. Adeyemi"/>
    <n v="313000"/>
  </r>
  <r>
    <d v="2025-02-14T00:00:00"/>
    <x v="3"/>
    <s v="EPE-01"/>
    <n v="3"/>
    <n v="10.1"/>
    <n v="131.1"/>
    <n v="5"/>
    <n v="2"/>
    <x v="5"/>
    <n v="3.3666666666666667"/>
    <s v="Mr. Ogunleye"/>
    <n v="181000"/>
  </r>
  <r>
    <d v="2025-06-23T00:00:00"/>
    <x v="7"/>
    <s v="SRL-02"/>
    <n v="4"/>
    <n v="29.1"/>
    <n v="149.69999999999999"/>
    <n v="1"/>
    <n v="6"/>
    <x v="7"/>
    <n v="7.2750000000000004"/>
    <s v="Mrs. Okafor"/>
    <n v="503000"/>
  </r>
  <r>
    <d v="2025-09-28T00:00:00"/>
    <x v="1"/>
    <s v=""/>
    <n v="5"/>
    <n v="38.200000000000003"/>
    <n v="142"/>
    <n v="1"/>
    <n v="9"/>
    <x v="10"/>
    <n v="7.6400000000000006"/>
    <s v="Mrs. Adisa"/>
    <n v="633000"/>
  </r>
  <r>
    <d v="2025-05-24T00:00:00"/>
    <x v="6"/>
    <s v="LKK-01"/>
    <n v="5"/>
    <n v="30.4"/>
    <n v="134.9"/>
    <n v="1"/>
    <n v="5"/>
    <x v="3"/>
    <n v="6.08"/>
    <s v="Mr. Salami"/>
    <n v="200000"/>
  </r>
  <r>
    <d v="2025-06-24T00:00:00"/>
    <x v="0"/>
    <s v="ALM-02"/>
    <n v="5"/>
    <n v="35.1"/>
    <n v="206"/>
    <n v="2"/>
    <n v="6"/>
    <x v="7"/>
    <n v="7.0200000000000005"/>
    <s v="Mr. Bello"/>
    <n v="1288000"/>
  </r>
  <r>
    <d v="2025-12-14T00:00:00"/>
    <x v="7"/>
    <s v="SRL-01"/>
    <n v="2"/>
    <n v="14.7"/>
    <n v="91.5"/>
    <n v="3"/>
    <n v="12"/>
    <x v="11"/>
    <n v="7.35"/>
    <s v="Mrs. Okafor"/>
    <n v="503000"/>
  </r>
  <r>
    <d v="2025-04-25T00:00:00"/>
    <x v="2"/>
    <s v="BDG-02"/>
    <n v="2"/>
    <n v="8"/>
    <m/>
    <n v="4"/>
    <n v="4"/>
    <x v="8"/>
    <n v="4"/>
    <s v="Mrs. Johnson"/>
    <n v="241000"/>
  </r>
  <r>
    <d v="2025-09-20T00:00:00"/>
    <x v="5"/>
    <s v="IKJ-01"/>
    <n v="2"/>
    <n v="10.9"/>
    <n v="62.6"/>
    <n v="1"/>
    <n v="9"/>
    <x v="10"/>
    <n v="5.45"/>
    <s v="Mr. Adeyemi"/>
    <n v="313000"/>
  </r>
  <r>
    <d v="2025-02-09T00:00:00"/>
    <x v="2"/>
    <s v="BDG-01"/>
    <n v="5"/>
    <m/>
    <n v="147.80000000000001"/>
    <n v="5"/>
    <n v="2"/>
    <x v="5"/>
    <m/>
    <s v="Mrs. Johnson"/>
    <n v="241000"/>
  </r>
  <r>
    <d v="2025-02-08T00:00:00"/>
    <x v="5"/>
    <s v="IKJ-03"/>
    <n v="5"/>
    <n v="32"/>
    <n v="218.3"/>
    <n v="1"/>
    <n v="2"/>
    <x v="5"/>
    <n v="6.4"/>
    <s v="Mr. Adeyemi"/>
    <n v="313000"/>
  </r>
  <r>
    <d v="2025-05-06T00:00:00"/>
    <x v="3"/>
    <s v=""/>
    <n v="4"/>
    <n v="14.8"/>
    <n v="150.9"/>
    <n v="2"/>
    <n v="5"/>
    <x v="3"/>
    <n v="3.7"/>
    <s v="Mr. Ogunleye"/>
    <n v="181000"/>
  </r>
  <r>
    <d v="2025-11-26T00:00:00"/>
    <x v="3"/>
    <s v="EPE-02"/>
    <n v="4"/>
    <n v="17.3"/>
    <n v="174.5"/>
    <n v="4"/>
    <n v="11"/>
    <x v="4"/>
    <n v="4.3250000000000002"/>
    <s v="Mr. Ogunleye"/>
    <n v="181000"/>
  </r>
  <r>
    <d v="2025-07-31T00:00:00"/>
    <x v="4"/>
    <s v="IKD-02"/>
    <n v="2"/>
    <n v="7.2"/>
    <n v="74.8"/>
    <n v="2"/>
    <n v="7"/>
    <x v="1"/>
    <n v="3.6"/>
    <s v="Mrs. Eze"/>
    <n v="535000"/>
  </r>
  <r>
    <d v="2025-05-02T00:00:00"/>
    <x v="6"/>
    <s v="LKK-01"/>
    <n v="4"/>
    <n v="24.5"/>
    <n v="115.4"/>
    <n v="0"/>
    <n v="5"/>
    <x v="3"/>
    <n v="6.125"/>
    <s v="Mr. Salami"/>
    <n v="200000"/>
  </r>
  <r>
    <d v="2025-01-16T00:00:00"/>
    <x v="2"/>
    <s v="BDG-01"/>
    <n v="4"/>
    <n v="11.7"/>
    <n v="136.30000000000001"/>
    <n v="1"/>
    <n v="1"/>
    <x v="0"/>
    <n v="2.9249999999999998"/>
    <s v="Mrs. Johnson"/>
    <n v="241000"/>
  </r>
  <r>
    <d v="2025-08-01T00:00:00"/>
    <x v="6"/>
    <s v="LKK-01"/>
    <n v="6"/>
    <n v="28.8"/>
    <n v="212.8"/>
    <n v="0"/>
    <n v="8"/>
    <x v="6"/>
    <n v="4.8"/>
    <s v="Mr. Salami"/>
    <n v="200000"/>
  </r>
  <r>
    <d v="2025-03-14T00:00:00"/>
    <x v="7"/>
    <s v="SRL-03"/>
    <n v="2"/>
    <n v="13.7"/>
    <n v="58.4"/>
    <n v="2"/>
    <n v="3"/>
    <x v="2"/>
    <n v="6.85"/>
    <s v="Mrs. Okafor"/>
    <n v="503000"/>
  </r>
  <r>
    <d v="2025-01-02T00:00:00"/>
    <x v="5"/>
    <s v="IKJ-01"/>
    <n v="3"/>
    <n v="18.3"/>
    <n v="97.1"/>
    <n v="1"/>
    <n v="1"/>
    <x v="0"/>
    <n v="6.1000000000000005"/>
    <s v="Mr. Adeyemi"/>
    <n v="313000"/>
  </r>
  <r>
    <d v="2025-09-06T00:00:00"/>
    <x v="2"/>
    <s v="BDG-01"/>
    <n v="6"/>
    <n v="25.4"/>
    <n v="233.1"/>
    <n v="3"/>
    <n v="9"/>
    <x v="10"/>
    <n v="4.2333333333333334"/>
    <s v="Mrs. Johnson"/>
    <n v="241000"/>
  </r>
  <r>
    <d v="2025-05-14T00:00:00"/>
    <x v="1"/>
    <s v="MSH-02"/>
    <n v="5"/>
    <n v="37.4"/>
    <n v="199.6"/>
    <n v="3"/>
    <n v="5"/>
    <x v="3"/>
    <n v="7.4799999999999995"/>
    <s v="Mrs. Adisa"/>
    <n v="633000"/>
  </r>
  <r>
    <d v="2025-05-02T00:00:00"/>
    <x v="4"/>
    <s v="IKD-01"/>
    <n v="2"/>
    <n v="7.8"/>
    <n v="71.3"/>
    <n v="3"/>
    <n v="5"/>
    <x v="3"/>
    <n v="3.9"/>
    <s v="Mrs. Eze"/>
    <n v="535000"/>
  </r>
  <r>
    <d v="2025-07-20T00:00:00"/>
    <x v="1"/>
    <s v="MSH-03"/>
    <n v="6"/>
    <n v="37.9"/>
    <n v="194.9"/>
    <n v="3"/>
    <n v="7"/>
    <x v="1"/>
    <n v="6.3166666666666664"/>
    <s v="Mrs. Adisa"/>
    <n v="633000"/>
  </r>
  <r>
    <d v="2025-01-02T00:00:00"/>
    <x v="5"/>
    <s v="IKJ-01"/>
    <n v="3"/>
    <n v="21.6"/>
    <n v="108.3"/>
    <n v="2"/>
    <n v="1"/>
    <x v="0"/>
    <n v="7.2"/>
    <s v="Mr. Adeyemi"/>
    <n v="313000"/>
  </r>
  <r>
    <d v="2025-04-19T00:00:00"/>
    <x v="4"/>
    <s v="IKD-01"/>
    <n v="6"/>
    <n v="21.7"/>
    <n v="229.1"/>
    <n v="1"/>
    <n v="4"/>
    <x v="8"/>
    <n v="3.6166666666666667"/>
    <s v="Mrs. Eze"/>
    <n v="535000"/>
  </r>
  <r>
    <d v="2025-03-06T00:00:00"/>
    <x v="1"/>
    <s v="MSH-03"/>
    <n v="3"/>
    <n v="20"/>
    <n v="108.1"/>
    <n v="0"/>
    <n v="3"/>
    <x v="2"/>
    <n v="6.666666666666667"/>
    <s v="Mrs. Adisa"/>
    <n v="633000"/>
  </r>
  <r>
    <d v="2025-02-17T00:00:00"/>
    <x v="6"/>
    <s v="LKK-02"/>
    <n v="2"/>
    <n v="9.6999999999999993"/>
    <n v="63.9"/>
    <n v="0"/>
    <n v="2"/>
    <x v="5"/>
    <n v="4.8499999999999996"/>
    <s v="Mr. Salami"/>
    <n v="200000"/>
  </r>
  <r>
    <d v="2025-07-22T00:00:00"/>
    <x v="0"/>
    <s v="ALM-01"/>
    <n v="4"/>
    <n v="28.7"/>
    <m/>
    <n v="5"/>
    <n v="7"/>
    <x v="1"/>
    <n v="7.1749999999999998"/>
    <s v="Mr. Bello"/>
    <n v="1288000"/>
  </r>
  <r>
    <d v="2025-01-02T00:00:00"/>
    <x v="0"/>
    <s v="ALM-04"/>
    <n v="3"/>
    <n v="19.100000000000001"/>
    <n v="129.4"/>
    <n v="1"/>
    <n v="1"/>
    <x v="0"/>
    <n v="6.3666666666666671"/>
    <s v="Mr. Bello"/>
    <n v="1288000"/>
  </r>
  <r>
    <d v="2025-01-08T00:00:00"/>
    <x v="0"/>
    <s v="ALM-04"/>
    <n v="6"/>
    <n v="43.3"/>
    <n v="221.5"/>
    <n v="0"/>
    <n v="1"/>
    <x v="0"/>
    <n v="7.2166666666666659"/>
    <s v="Mr. Bello"/>
    <n v="1288000"/>
  </r>
  <r>
    <d v="2025-05-24T00:00:00"/>
    <x v="5"/>
    <s v="IKJ-01"/>
    <n v="5"/>
    <n v="38.1"/>
    <n v="188.7"/>
    <n v="2"/>
    <n v="5"/>
    <x v="3"/>
    <n v="7.62"/>
    <s v="Mr. Adeyemi"/>
    <n v="313000"/>
  </r>
  <r>
    <d v="2025-10-25T00:00:00"/>
    <x v="0"/>
    <s v="ALM-02"/>
    <n v="4"/>
    <n v="29.8"/>
    <n v="136.30000000000001"/>
    <n v="1"/>
    <n v="10"/>
    <x v="9"/>
    <n v="7.45"/>
    <s v="Mr. Bello"/>
    <n v="1288000"/>
  </r>
  <r>
    <d v="2025-01-01T00:00:00"/>
    <x v="5"/>
    <s v="IKJ-02"/>
    <n v="2"/>
    <n v="11.6"/>
    <n v="79"/>
    <n v="2"/>
    <n v="1"/>
    <x v="0"/>
    <n v="5.8"/>
    <s v="Mr. Adeyemi"/>
    <n v="313000"/>
  </r>
  <r>
    <d v="2025-05-12T00:00:00"/>
    <x v="0"/>
    <s v="ALM-01"/>
    <n v="3"/>
    <n v="28.1"/>
    <n v="118.5"/>
    <n v="1"/>
    <n v="5"/>
    <x v="3"/>
    <n v="9.3666666666666671"/>
    <s v="Mr. Bello"/>
    <n v="1288000"/>
  </r>
  <r>
    <d v="2025-11-28T00:00:00"/>
    <x v="4"/>
    <s v="IKD-01"/>
    <n v="2"/>
    <n v="8.5"/>
    <n v="69.7"/>
    <n v="3"/>
    <n v="11"/>
    <x v="4"/>
    <n v="4.25"/>
    <s v="Mrs. Eze"/>
    <n v="535000"/>
  </r>
  <r>
    <d v="2025-04-06T00:00:00"/>
    <x v="1"/>
    <s v="MSH-02"/>
    <n v="3"/>
    <n v="19.899999999999999"/>
    <n v="101.8"/>
    <n v="2"/>
    <n v="4"/>
    <x v="8"/>
    <n v="6.6333333333333329"/>
    <s v="Mrs. Adisa"/>
    <n v="633000"/>
  </r>
  <r>
    <d v="2025-04-01T00:00:00"/>
    <x v="0"/>
    <s v="ALM-04"/>
    <n v="5"/>
    <n v="33.1"/>
    <n v="173.4"/>
    <n v="0"/>
    <n v="4"/>
    <x v="8"/>
    <n v="6.62"/>
    <s v="Mr. Bello"/>
    <n v="1288000"/>
  </r>
  <r>
    <d v="2025-11-09T00:00:00"/>
    <x v="5"/>
    <s v="IKJ-01"/>
    <n v="2"/>
    <n v="15"/>
    <n v="82.1"/>
    <n v="0"/>
    <n v="11"/>
    <x v="4"/>
    <n v="7.5"/>
    <s v="Mr. Adeyemi"/>
    <n v="313000"/>
  </r>
  <r>
    <d v="2025-02-26T00:00:00"/>
    <x v="6"/>
    <s v="LKK-02"/>
    <n v="5"/>
    <n v="32.200000000000003"/>
    <n v="179.8"/>
    <n v="1"/>
    <n v="2"/>
    <x v="5"/>
    <n v="6.44"/>
    <s v="Mr. Salami"/>
    <n v="200000"/>
  </r>
  <r>
    <d v="2025-11-27T00:00:00"/>
    <x v="5"/>
    <s v="IKJ-01"/>
    <n v="6"/>
    <n v="48.8"/>
    <n v="267.3"/>
    <n v="3"/>
    <n v="11"/>
    <x v="4"/>
    <n v="8.1333333333333329"/>
    <s v="Mr. Adeyemi"/>
    <n v="313000"/>
  </r>
  <r>
    <d v="2025-09-05T00:00:00"/>
    <x v="0"/>
    <s v="ALM-04"/>
    <n v="6"/>
    <n v="38.299999999999997"/>
    <n v="209"/>
    <n v="1"/>
    <n v="9"/>
    <x v="10"/>
    <n v="6.3833333333333329"/>
    <s v="Mr. Bello"/>
    <n v="1288000"/>
  </r>
  <r>
    <d v="2025-12-17T00:00:00"/>
    <x v="2"/>
    <s v="BDG-02"/>
    <n v="3"/>
    <n v="14.8"/>
    <n v="129.4"/>
    <n v="4"/>
    <n v="12"/>
    <x v="11"/>
    <n v="4.9333333333333336"/>
    <s v="Mrs. Johnson"/>
    <n v="241000"/>
  </r>
  <r>
    <d v="2025-07-03T00:00:00"/>
    <x v="3"/>
    <s v="EPE-02"/>
    <n v="5"/>
    <n v="17.100000000000001"/>
    <n v="210.9"/>
    <n v="4"/>
    <n v="7"/>
    <x v="1"/>
    <n v="3.4200000000000004"/>
    <s v="Mr. Ogunleye"/>
    <n v="181000"/>
  </r>
  <r>
    <d v="2025-01-12T00:00:00"/>
    <x v="2"/>
    <s v="BDG-01"/>
    <n v="4"/>
    <n v="13.5"/>
    <n v="171.2"/>
    <n v="3"/>
    <n v="1"/>
    <x v="0"/>
    <n v="3.375"/>
    <s v="Mrs. Johnson"/>
    <n v="241000"/>
  </r>
  <r>
    <d v="2025-07-26T00:00:00"/>
    <x v="0"/>
    <s v="ALM-01"/>
    <n v="2"/>
    <n v="14.1"/>
    <n v="50.1"/>
    <n v="1"/>
    <n v="7"/>
    <x v="1"/>
    <n v="7.05"/>
    <s v="Mr. Bello"/>
    <n v="1288000"/>
  </r>
  <r>
    <d v="2025-12-17T00:00:00"/>
    <x v="2"/>
    <s v="BDG-01"/>
    <n v="5"/>
    <n v="23"/>
    <n v="132"/>
    <n v="0"/>
    <n v="12"/>
    <x v="11"/>
    <n v="4.5999999999999996"/>
    <s v="Mrs. Johnson"/>
    <n v="241000"/>
  </r>
  <r>
    <d v="2025-07-20T00:00:00"/>
    <x v="2"/>
    <s v="BDG-01"/>
    <n v="6"/>
    <n v="19.2"/>
    <n v="208.7"/>
    <n v="3"/>
    <n v="7"/>
    <x v="1"/>
    <n v="3.1999999999999997"/>
    <s v="Mrs. Johnson"/>
    <n v="241000"/>
  </r>
  <r>
    <d v="2025-08-22T00:00:00"/>
    <x v="3"/>
    <s v=""/>
    <n v="2"/>
    <n v="7.6"/>
    <n v="65.7"/>
    <n v="3"/>
    <n v="8"/>
    <x v="6"/>
    <n v="3.8"/>
    <s v="Mr. Ogunleye"/>
    <n v="181000"/>
  </r>
  <r>
    <d v="2025-06-23T00:00:00"/>
    <x v="4"/>
    <s v="IKD-02"/>
    <n v="5"/>
    <n v="18.899999999999999"/>
    <n v="170"/>
    <n v="1"/>
    <n v="6"/>
    <x v="7"/>
    <n v="3.78"/>
    <s v="Mrs. Eze"/>
    <n v="535000"/>
  </r>
  <r>
    <d v="2025-01-22T00:00:00"/>
    <x v="3"/>
    <s v="EPE-01"/>
    <n v="6"/>
    <n v="22"/>
    <n v="248.7"/>
    <n v="5"/>
    <n v="1"/>
    <x v="0"/>
    <n v="3.6666666666666665"/>
    <s v="Mr. Ogunleye"/>
    <n v="181000"/>
  </r>
  <r>
    <d v="2025-01-03T00:00:00"/>
    <x v="4"/>
    <s v="IKD-03"/>
    <n v="3"/>
    <n v="12.6"/>
    <n v="93.7"/>
    <n v="2"/>
    <n v="1"/>
    <x v="0"/>
    <n v="4.2"/>
    <s v="Mrs. Eze"/>
    <n v="535000"/>
  </r>
  <r>
    <d v="2025-11-17T00:00:00"/>
    <x v="2"/>
    <s v="BDG-02"/>
    <n v="2"/>
    <n v="7.4"/>
    <n v="76.099999999999994"/>
    <n v="2"/>
    <n v="11"/>
    <x v="4"/>
    <n v="3.7"/>
    <s v="Mrs. Johnson"/>
    <n v="241000"/>
  </r>
  <r>
    <d v="2025-05-07T00:00:00"/>
    <x v="2"/>
    <s v="BDG-01"/>
    <n v="2"/>
    <n v="9.6"/>
    <n v="71.2"/>
    <n v="2"/>
    <n v="5"/>
    <x v="3"/>
    <n v="4.8"/>
    <s v="Mrs. Johnson"/>
    <n v="241000"/>
  </r>
  <r>
    <d v="2025-11-05T00:00:00"/>
    <x v="5"/>
    <s v="IKJ-01"/>
    <n v="6"/>
    <n v="47.5"/>
    <n v="192.9"/>
    <n v="0"/>
    <n v="11"/>
    <x v="4"/>
    <n v="7.916666666666667"/>
    <s v="Mr. Adeyemi"/>
    <n v="313000"/>
  </r>
  <r>
    <d v="2025-06-10T00:00:00"/>
    <x v="7"/>
    <s v="SRL-03"/>
    <n v="2"/>
    <n v="14.5"/>
    <n v="69"/>
    <n v="1"/>
    <n v="6"/>
    <x v="7"/>
    <n v="7.25"/>
    <s v="Mrs. Okafor"/>
    <n v="503000"/>
  </r>
  <r>
    <d v="2025-05-12T00:00:00"/>
    <x v="3"/>
    <s v="EPE-01"/>
    <n v="5"/>
    <n v="20"/>
    <n v="225.6"/>
    <n v="1"/>
    <n v="5"/>
    <x v="3"/>
    <n v="4"/>
    <s v="Mr. Ogunleye"/>
    <n v="181000"/>
  </r>
  <r>
    <d v="2025-12-08T00:00:00"/>
    <x v="5"/>
    <s v="IKJ-01"/>
    <n v="6"/>
    <n v="60.7"/>
    <n v="279.7"/>
    <n v="0"/>
    <n v="12"/>
    <x v="11"/>
    <n v="10.116666666666667"/>
    <s v="Mr. Adeyemi"/>
    <n v="313000"/>
  </r>
  <r>
    <d v="2025-07-14T00:00:00"/>
    <x v="0"/>
    <s v="ALM-01"/>
    <n v="3"/>
    <n v="22.1"/>
    <n v="114"/>
    <n v="2"/>
    <n v="7"/>
    <x v="1"/>
    <n v="7.3666666666666671"/>
    <s v="Mr. Bello"/>
    <n v="1288000"/>
  </r>
  <r>
    <d v="2025-03-20T00:00:00"/>
    <x v="0"/>
    <s v="ALM-03"/>
    <n v="4"/>
    <n v="24.6"/>
    <n v="133.5"/>
    <n v="0"/>
    <n v="3"/>
    <x v="2"/>
    <n v="6.15"/>
    <s v="Mr. Bello"/>
    <n v="1288000"/>
  </r>
  <r>
    <d v="2025-05-14T00:00:00"/>
    <x v="5"/>
    <s v="IKJ-01"/>
    <n v="2"/>
    <n v="14.2"/>
    <n v="79.2"/>
    <n v="1"/>
    <n v="5"/>
    <x v="3"/>
    <n v="7.1"/>
    <s v="Mr. Adeyemi"/>
    <n v="313000"/>
  </r>
  <r>
    <d v="2025-05-16T00:00:00"/>
    <x v="2"/>
    <s v="BDG-01"/>
    <n v="2"/>
    <n v="6.8"/>
    <n v="84"/>
    <n v="2"/>
    <n v="5"/>
    <x v="3"/>
    <n v="3.4"/>
    <s v="Mrs. Johnson"/>
    <n v="241000"/>
  </r>
  <r>
    <d v="2025-07-11T00:00:00"/>
    <x v="0"/>
    <s v="ALM-04"/>
    <n v="4"/>
    <n v="24.3"/>
    <n v="158.6"/>
    <n v="1"/>
    <n v="7"/>
    <x v="1"/>
    <n v="6.0750000000000002"/>
    <s v="Mr. Bello"/>
    <n v="1288000"/>
  </r>
  <r>
    <d v="2025-09-11T00:00:00"/>
    <x v="6"/>
    <s v="LKK-02"/>
    <n v="3"/>
    <n v="16.5"/>
    <n v="126.8"/>
    <n v="0"/>
    <n v="9"/>
    <x v="10"/>
    <n v="5.5"/>
    <s v="Mr. Salami"/>
    <n v="200000"/>
  </r>
  <r>
    <d v="2025-07-06T00:00:00"/>
    <x v="3"/>
    <s v="EPE-02"/>
    <n v="2"/>
    <n v="6.5"/>
    <n v="91.7"/>
    <n v="4"/>
    <n v="7"/>
    <x v="1"/>
    <n v="3.25"/>
    <s v="Mr. Ogunleye"/>
    <n v="181000"/>
  </r>
  <r>
    <d v="2025-06-18T00:00:00"/>
    <x v="0"/>
    <s v="ALM-04"/>
    <n v="4"/>
    <n v="23.1"/>
    <m/>
    <n v="1"/>
    <n v="6"/>
    <x v="7"/>
    <n v="5.7750000000000004"/>
    <s v="Mr. Bello"/>
    <n v="1288000"/>
  </r>
  <r>
    <d v="2025-11-30T00:00:00"/>
    <x v="2"/>
    <s v="BDG-02"/>
    <n v="2"/>
    <n v="7.8"/>
    <n v="76.400000000000006"/>
    <n v="3"/>
    <n v="11"/>
    <x v="4"/>
    <n v="3.9"/>
    <s v="Mrs. Johnson"/>
    <n v="241000"/>
  </r>
  <r>
    <d v="2025-10-27T00:00:00"/>
    <x v="0"/>
    <s v="ALM-01"/>
    <n v="6"/>
    <n v="50.2"/>
    <n v="207.6"/>
    <n v="4"/>
    <n v="10"/>
    <x v="9"/>
    <n v="8.3666666666666671"/>
    <s v="Mr. Bello"/>
    <n v="1288000"/>
  </r>
  <r>
    <d v="2025-01-25T00:00:00"/>
    <x v="2"/>
    <s v="BDG-01"/>
    <n v="3"/>
    <n v="11.4"/>
    <n v="124.6"/>
    <n v="1"/>
    <n v="1"/>
    <x v="0"/>
    <n v="3.8000000000000003"/>
    <s v="Mrs. Johnson"/>
    <n v="241000"/>
  </r>
  <r>
    <d v="2025-07-10T00:00:00"/>
    <x v="2"/>
    <s v="BDG-01"/>
    <n v="5"/>
    <n v="16.7"/>
    <n v="225.2"/>
    <n v="3"/>
    <n v="7"/>
    <x v="1"/>
    <n v="3.34"/>
    <s v="Mrs. Johnson"/>
    <n v="241000"/>
  </r>
  <r>
    <d v="2025-03-11T00:00:00"/>
    <x v="7"/>
    <s v="SRL-02"/>
    <n v="4"/>
    <n v="25.5"/>
    <n v="132.30000000000001"/>
    <n v="2"/>
    <n v="3"/>
    <x v="2"/>
    <n v="6.375"/>
    <s v="Mrs. Okafor"/>
    <n v="503000"/>
  </r>
  <r>
    <d v="2025-03-14T00:00:00"/>
    <x v="4"/>
    <s v="IKD-03"/>
    <n v="4"/>
    <n v="19.399999999999999"/>
    <n v="130.9"/>
    <n v="1"/>
    <n v="3"/>
    <x v="2"/>
    <n v="4.8499999999999996"/>
    <s v="Mrs. Eze"/>
    <n v="535000"/>
  </r>
  <r>
    <d v="2025-01-31T00:00:00"/>
    <x v="0"/>
    <s v="ALM-02"/>
    <n v="3"/>
    <n v="21.6"/>
    <n v="125"/>
    <n v="0"/>
    <n v="1"/>
    <x v="0"/>
    <n v="7.2"/>
    <s v="Mr. Bello"/>
    <n v="1288000"/>
  </r>
  <r>
    <d v="2025-09-06T00:00:00"/>
    <x v="6"/>
    <s v="LKK-02"/>
    <n v="5"/>
    <n v="35"/>
    <n v="224.8"/>
    <n v="0"/>
    <n v="9"/>
    <x v="10"/>
    <n v="7"/>
    <s v="Mr. Salami"/>
    <n v="200000"/>
  </r>
  <r>
    <d v="2025-12-15T00:00:00"/>
    <x v="5"/>
    <s v="IKJ-01"/>
    <n v="5"/>
    <n v="34.9"/>
    <n v="188.5"/>
    <n v="1"/>
    <n v="12"/>
    <x v="11"/>
    <n v="6.9799999999999995"/>
    <s v="Mr. Adeyemi"/>
    <n v="313000"/>
  </r>
  <r>
    <d v="2025-04-24T00:00:00"/>
    <x v="0"/>
    <s v="ALM-01"/>
    <n v="6"/>
    <n v="47.2"/>
    <n v="241"/>
    <n v="0"/>
    <n v="4"/>
    <x v="8"/>
    <n v="7.8666666666666671"/>
    <s v="Mr. Bello"/>
    <n v="1288000"/>
  </r>
  <r>
    <d v="2025-02-01T00:00:00"/>
    <x v="1"/>
    <s v="MSH-01"/>
    <n v="6"/>
    <n v="39.299999999999997"/>
    <n v="160.69999999999999"/>
    <n v="0"/>
    <n v="2"/>
    <x v="5"/>
    <n v="6.55"/>
    <s v="Mrs. Adisa"/>
    <n v="633000"/>
  </r>
  <r>
    <d v="2025-09-21T00:00:00"/>
    <x v="3"/>
    <s v="EPE-01"/>
    <n v="6"/>
    <n v="20.9"/>
    <n v="200.1"/>
    <n v="1"/>
    <n v="9"/>
    <x v="10"/>
    <n v="3.4833333333333329"/>
    <s v="Mr. Ogunleye"/>
    <n v="181000"/>
  </r>
  <r>
    <d v="2025-03-10T00:00:00"/>
    <x v="4"/>
    <s v="IKD-03"/>
    <n v="2"/>
    <n v="8"/>
    <n v="95.2"/>
    <n v="3"/>
    <n v="3"/>
    <x v="2"/>
    <n v="4"/>
    <s v="Mrs. Eze"/>
    <n v="535000"/>
  </r>
  <r>
    <d v="2025-09-08T00:00:00"/>
    <x v="7"/>
    <s v="SRL-03"/>
    <n v="6"/>
    <n v="34.4"/>
    <n v="230.1"/>
    <n v="1"/>
    <n v="9"/>
    <x v="10"/>
    <n v="5.7333333333333334"/>
    <s v="Mrs. Okafor"/>
    <n v="503000"/>
  </r>
  <r>
    <d v="2025-01-02T00:00:00"/>
    <x v="0"/>
    <s v="ALM-02"/>
    <n v="4"/>
    <n v="23.7"/>
    <n v="166.3"/>
    <n v="1"/>
    <n v="1"/>
    <x v="0"/>
    <n v="5.9249999999999998"/>
    <s v="Mr. Bello"/>
    <n v="1288000"/>
  </r>
  <r>
    <d v="2025-03-13T00:00:00"/>
    <x v="0"/>
    <s v="ALM-01"/>
    <n v="5"/>
    <n v="32.4"/>
    <n v="158.80000000000001"/>
    <n v="1"/>
    <n v="3"/>
    <x v="2"/>
    <n v="6.4799999999999995"/>
    <s v="Mr. Bello"/>
    <n v="1288000"/>
  </r>
  <r>
    <d v="2025-09-25T00:00:00"/>
    <x v="7"/>
    <s v="SRL-02"/>
    <n v="2"/>
    <n v="11.5"/>
    <n v="88.5"/>
    <n v="4"/>
    <n v="9"/>
    <x v="10"/>
    <n v="5.75"/>
    <s v="Mrs. Okafor"/>
    <n v="503000"/>
  </r>
  <r>
    <d v="2025-03-18T00:00:00"/>
    <x v="2"/>
    <s v="BDG-01"/>
    <n v="2"/>
    <n v="8.6999999999999993"/>
    <n v="67.7"/>
    <n v="0"/>
    <n v="3"/>
    <x v="2"/>
    <n v="4.3499999999999996"/>
    <s v="Mrs. Johnson"/>
    <n v="241000"/>
  </r>
  <r>
    <d v="2025-02-18T00:00:00"/>
    <x v="5"/>
    <s v="IKJ-03"/>
    <n v="4"/>
    <n v="23.1"/>
    <n v="153.5"/>
    <n v="3"/>
    <n v="2"/>
    <x v="5"/>
    <n v="5.7750000000000004"/>
    <s v="Mr. Adeyemi"/>
    <n v="313000"/>
  </r>
  <r>
    <d v="2025-05-27T00:00:00"/>
    <x v="4"/>
    <s v="IKD-03"/>
    <n v="6"/>
    <n v="28.8"/>
    <n v="208"/>
    <n v="3"/>
    <n v="5"/>
    <x v="3"/>
    <n v="4.8"/>
    <s v="Mrs. Eze"/>
    <n v="535000"/>
  </r>
  <r>
    <d v="2025-12-19T00:00:00"/>
    <x v="5"/>
    <s v="IKJ-02"/>
    <n v="2"/>
    <n v="15.2"/>
    <n v="73.099999999999994"/>
    <n v="2"/>
    <n v="12"/>
    <x v="11"/>
    <n v="7.6"/>
    <s v="Mr. Adeyemi"/>
    <n v="313000"/>
  </r>
  <r>
    <d v="2025-10-02T00:00:00"/>
    <x v="1"/>
    <s v="MSH-03"/>
    <n v="4"/>
    <n v="29.1"/>
    <n v="148"/>
    <n v="3"/>
    <n v="10"/>
    <x v="9"/>
    <n v="7.2750000000000004"/>
    <s v="Mrs. Adisa"/>
    <n v="633000"/>
  </r>
  <r>
    <d v="2025-05-11T00:00:00"/>
    <x v="7"/>
    <s v="SRL-01"/>
    <n v="6"/>
    <n v="38.5"/>
    <n v="178.8"/>
    <n v="1"/>
    <n v="5"/>
    <x v="3"/>
    <n v="6.416666666666667"/>
    <s v="Mrs. Okafor"/>
    <n v="503000"/>
  </r>
  <r>
    <d v="2025-06-30T00:00:00"/>
    <x v="6"/>
    <s v="LKK-01"/>
    <n v="4"/>
    <n v="28.4"/>
    <n v="159.30000000000001"/>
    <n v="4"/>
    <n v="6"/>
    <x v="7"/>
    <n v="7.1"/>
    <s v="Mr. Salami"/>
    <n v="200000"/>
  </r>
  <r>
    <d v="2025-11-07T00:00:00"/>
    <x v="6"/>
    <s v="LKK-01"/>
    <n v="6"/>
    <n v="27.4"/>
    <n v="229"/>
    <n v="1"/>
    <n v="11"/>
    <x v="4"/>
    <n v="4.5666666666666664"/>
    <s v="Mr. Salami"/>
    <n v="200000"/>
  </r>
  <r>
    <d v="2025-08-04T00:00:00"/>
    <x v="3"/>
    <s v="EPE-02"/>
    <n v="4"/>
    <n v="14.4"/>
    <n v="119.2"/>
    <n v="4"/>
    <n v="8"/>
    <x v="6"/>
    <n v="3.6"/>
    <s v="Mr. Ogunleye"/>
    <n v="181000"/>
  </r>
  <r>
    <d v="2025-08-05T00:00:00"/>
    <x v="0"/>
    <s v="ALM-02"/>
    <n v="3"/>
    <n v="17.2"/>
    <n v="115.7"/>
    <n v="0"/>
    <n v="8"/>
    <x v="6"/>
    <n v="5.7333333333333334"/>
    <s v="Mr. Bello"/>
    <n v="1288000"/>
  </r>
  <r>
    <d v="2025-07-09T00:00:00"/>
    <x v="2"/>
    <s v="BDG-01"/>
    <n v="6"/>
    <n v="23.2"/>
    <n v="204.7"/>
    <n v="1"/>
    <n v="7"/>
    <x v="1"/>
    <n v="3.8666666666666667"/>
    <s v="Mrs. Johnson"/>
    <n v="241000"/>
  </r>
  <r>
    <d v="2025-02-11T00:00:00"/>
    <x v="3"/>
    <s v="EPE-02"/>
    <n v="4"/>
    <n v="13.8"/>
    <n v="133.1"/>
    <n v="0"/>
    <n v="2"/>
    <x v="5"/>
    <n v="3.45"/>
    <s v="Mr. Ogunleye"/>
    <n v="181000"/>
  </r>
  <r>
    <d v="2025-07-15T00:00:00"/>
    <x v="7"/>
    <s v="SRL-03"/>
    <n v="4"/>
    <m/>
    <n v="201.8"/>
    <n v="2"/>
    <n v="7"/>
    <x v="1"/>
    <m/>
    <s v="Mrs. Okafor"/>
    <n v="503000"/>
  </r>
  <r>
    <d v="2025-06-29T00:00:00"/>
    <x v="7"/>
    <s v="SRL-03"/>
    <n v="4"/>
    <n v="23"/>
    <n v="168.5"/>
    <n v="1"/>
    <n v="6"/>
    <x v="7"/>
    <n v="5.75"/>
    <s v="Mrs. Okafor"/>
    <n v="503000"/>
  </r>
  <r>
    <d v="2025-04-21T00:00:00"/>
    <x v="0"/>
    <s v="ALM-04"/>
    <n v="2"/>
    <n v="15.7"/>
    <n v="87.5"/>
    <n v="0"/>
    <n v="4"/>
    <x v="8"/>
    <n v="7.85"/>
    <s v="Mr. Bello"/>
    <n v="1288000"/>
  </r>
  <r>
    <d v="2025-06-16T00:00:00"/>
    <x v="2"/>
    <s v="BDG-02"/>
    <n v="3"/>
    <n v="13"/>
    <n v="110.3"/>
    <m/>
    <n v="6"/>
    <x v="7"/>
    <n v="4.333333333333333"/>
    <s v="Mrs. Johnson"/>
    <n v="241000"/>
  </r>
  <r>
    <d v="2025-06-15T00:00:00"/>
    <x v="7"/>
    <s v="SRL-02"/>
    <n v="4"/>
    <n v="19.899999999999999"/>
    <n v="131.4"/>
    <n v="2"/>
    <n v="6"/>
    <x v="7"/>
    <n v="4.9749999999999996"/>
    <s v="Mrs. Okafor"/>
    <n v="503000"/>
  </r>
  <r>
    <d v="2025-09-15T00:00:00"/>
    <x v="1"/>
    <s v="MSH-03"/>
    <n v="3"/>
    <n v="24"/>
    <n v="101.3"/>
    <n v="0"/>
    <n v="9"/>
    <x v="10"/>
    <n v="8"/>
    <s v="Mrs. Adisa"/>
    <n v="633000"/>
  </r>
  <r>
    <d v="2025-04-06T00:00:00"/>
    <x v="0"/>
    <s v="ALM-01"/>
    <n v="6"/>
    <n v="50.4"/>
    <n v="175.8"/>
    <n v="1"/>
    <n v="4"/>
    <x v="8"/>
    <n v="8.4"/>
    <s v="Mr. Bello"/>
    <n v="1288000"/>
  </r>
  <r>
    <d v="2025-04-30T00:00:00"/>
    <x v="1"/>
    <s v="MSH-02"/>
    <n v="4"/>
    <n v="23.8"/>
    <n v="145.30000000000001"/>
    <n v="3"/>
    <n v="4"/>
    <x v="8"/>
    <n v="5.95"/>
    <s v="Mrs. Adisa"/>
    <n v="633000"/>
  </r>
  <r>
    <d v="2025-09-15T00:00:00"/>
    <x v="7"/>
    <s v="SRL-01"/>
    <n v="4"/>
    <n v="23.7"/>
    <n v="146.9"/>
    <n v="2"/>
    <n v="9"/>
    <x v="10"/>
    <n v="5.9249999999999998"/>
    <s v="Mrs. Okafor"/>
    <n v="503000"/>
  </r>
  <r>
    <d v="2025-12-01T00:00:00"/>
    <x v="6"/>
    <s v="LKK-02"/>
    <n v="4"/>
    <n v="27.7"/>
    <n v="149.6"/>
    <n v="1"/>
    <n v="12"/>
    <x v="11"/>
    <n v="6.9249999999999998"/>
    <s v="Mr. Salami"/>
    <n v="200000"/>
  </r>
  <r>
    <d v="2025-01-12T00:00:00"/>
    <x v="3"/>
    <s v="EPE-01"/>
    <n v="4"/>
    <n v="12.1"/>
    <n v="162.69999999999999"/>
    <n v="5"/>
    <n v="1"/>
    <x v="0"/>
    <n v="3.0249999999999999"/>
    <s v="Mr. Ogunleye"/>
    <n v="181000"/>
  </r>
  <r>
    <d v="2025-01-09T00:00:00"/>
    <x v="0"/>
    <s v="ALM-04"/>
    <n v="2"/>
    <n v="12.6"/>
    <n v="79.099999999999994"/>
    <n v="0"/>
    <n v="1"/>
    <x v="0"/>
    <n v="6.3"/>
    <s v="Mr. Bello"/>
    <n v="1288000"/>
  </r>
  <r>
    <d v="2025-09-28T00:00:00"/>
    <x v="0"/>
    <s v="ALM-04"/>
    <n v="6"/>
    <n v="43.8"/>
    <n v="216"/>
    <n v="1"/>
    <n v="9"/>
    <x v="10"/>
    <n v="7.3"/>
    <s v="Mr. Bello"/>
    <n v="1288000"/>
  </r>
  <r>
    <d v="2025-06-28T00:00:00"/>
    <x v="7"/>
    <s v="SRL-02"/>
    <n v="6"/>
    <n v="25.1"/>
    <n v="204.4"/>
    <n v="0"/>
    <n v="6"/>
    <x v="7"/>
    <n v="4.1833333333333336"/>
    <s v="Mrs. Okafor"/>
    <n v="503000"/>
  </r>
  <r>
    <d v="2025-05-18T00:00:00"/>
    <x v="0"/>
    <s v="ALM-02"/>
    <n v="3"/>
    <n v="22.1"/>
    <n v="119"/>
    <n v="1"/>
    <n v="5"/>
    <x v="3"/>
    <n v="7.3666666666666671"/>
    <s v="Mr. Bello"/>
    <n v="1288000"/>
  </r>
  <r>
    <d v="2025-01-17T00:00:00"/>
    <x v="5"/>
    <s v="IKJ-03"/>
    <n v="3"/>
    <n v="17"/>
    <n v="119.9"/>
    <n v="0"/>
    <n v="1"/>
    <x v="0"/>
    <n v="5.666666666666667"/>
    <s v="Mr. Adeyemi"/>
    <n v="313000"/>
  </r>
  <r>
    <d v="2025-06-06T00:00:00"/>
    <x v="1"/>
    <s v="MSH-03"/>
    <n v="2"/>
    <n v="14.4"/>
    <n v="98.8"/>
    <n v="1"/>
    <n v="6"/>
    <x v="7"/>
    <n v="7.2"/>
    <s v="Mrs. Adisa"/>
    <n v="633000"/>
  </r>
  <r>
    <d v="2025-11-26T00:00:00"/>
    <x v="6"/>
    <s v="LKK-01"/>
    <n v="4"/>
    <n v="20.7"/>
    <n v="150.69999999999999"/>
    <n v="2"/>
    <n v="11"/>
    <x v="4"/>
    <n v="5.1749999999999998"/>
    <s v="Mr. Salami"/>
    <n v="200000"/>
  </r>
  <r>
    <d v="2025-07-14T00:00:00"/>
    <x v="6"/>
    <s v="LKK-01"/>
    <n v="2"/>
    <n v="9.1"/>
    <n v="67.7"/>
    <n v="0"/>
    <n v="7"/>
    <x v="1"/>
    <n v="4.55"/>
    <s v="Mr. Salami"/>
    <n v="200000"/>
  </r>
  <r>
    <d v="2025-06-06T00:00:00"/>
    <x v="6"/>
    <s v="LKK-01"/>
    <n v="4"/>
    <n v="23.1"/>
    <n v="169.4"/>
    <n v="2"/>
    <n v="6"/>
    <x v="7"/>
    <n v="5.7750000000000004"/>
    <s v="Mr. Salami"/>
    <n v="200000"/>
  </r>
  <r>
    <d v="2025-12-04T00:00:00"/>
    <x v="0"/>
    <s v="ALM-04"/>
    <n v="4"/>
    <n v="37.6"/>
    <n v="154.9"/>
    <n v="4"/>
    <n v="12"/>
    <x v="11"/>
    <n v="9.4"/>
    <s v="Mr. Bello"/>
    <n v="1288000"/>
  </r>
  <r>
    <d v="2025-09-05T00:00:00"/>
    <x v="3"/>
    <s v="EPE-02"/>
    <n v="4"/>
    <n v="16.3"/>
    <n v="149.4"/>
    <n v="3"/>
    <n v="9"/>
    <x v="10"/>
    <n v="4.0750000000000002"/>
    <s v="Mr. Ogunleye"/>
    <n v="181000"/>
  </r>
  <r>
    <d v="2025-02-15T00:00:00"/>
    <x v="4"/>
    <s v="IKD-03"/>
    <n v="4"/>
    <n v="14.7"/>
    <n v="145.4"/>
    <n v="4"/>
    <n v="2"/>
    <x v="5"/>
    <n v="3.6749999999999998"/>
    <s v="Mrs. Eze"/>
    <n v="535000"/>
  </r>
  <r>
    <d v="2025-09-15T00:00:00"/>
    <x v="0"/>
    <s v="ALM-04"/>
    <n v="2"/>
    <n v="12.2"/>
    <n v="83.1"/>
    <n v="3"/>
    <n v="9"/>
    <x v="10"/>
    <n v="6.1"/>
    <s v="Mr. Bello"/>
    <n v="1288000"/>
  </r>
  <r>
    <d v="2025-05-09T00:00:00"/>
    <x v="4"/>
    <s v="IKD-01"/>
    <n v="2"/>
    <n v="9.1"/>
    <n v="83.1"/>
    <n v="3"/>
    <n v="5"/>
    <x v="3"/>
    <n v="4.55"/>
    <s v="Mrs. Eze"/>
    <n v="535000"/>
  </r>
  <r>
    <d v="2025-06-01T00:00:00"/>
    <x v="3"/>
    <s v="EPE-01"/>
    <n v="5"/>
    <n v="20.5"/>
    <n v="210.9"/>
    <n v="1"/>
    <n v="6"/>
    <x v="7"/>
    <n v="4.0999999999999996"/>
    <s v="Mr. Ogunleye"/>
    <n v="181000"/>
  </r>
  <r>
    <d v="2025-07-29T00:00:00"/>
    <x v="7"/>
    <s v=""/>
    <n v="5"/>
    <n v="31.1"/>
    <n v="254.3"/>
    <n v="1"/>
    <n v="7"/>
    <x v="1"/>
    <n v="6.2200000000000006"/>
    <s v="Mrs. Okafor"/>
    <n v="503000"/>
  </r>
  <r>
    <d v="2025-10-28T00:00:00"/>
    <x v="3"/>
    <s v="EPE-02"/>
    <n v="5"/>
    <n v="18"/>
    <n v="226.7"/>
    <n v="4"/>
    <n v="10"/>
    <x v="9"/>
    <n v="3.6"/>
    <s v="Mr. Ogunleye"/>
    <n v="181000"/>
  </r>
  <r>
    <d v="2025-12-04T00:00:00"/>
    <x v="6"/>
    <s v="LKK-01"/>
    <n v="3"/>
    <n v="23.2"/>
    <n v="139.6"/>
    <n v="0"/>
    <n v="12"/>
    <x v="11"/>
    <n v="7.7333333333333334"/>
    <s v="Mr. Salami"/>
    <n v="200000"/>
  </r>
  <r>
    <d v="2025-09-02T00:00:00"/>
    <x v="6"/>
    <s v="LKK-02"/>
    <n v="2"/>
    <n v="10.7"/>
    <n v="77.8"/>
    <n v="2"/>
    <n v="9"/>
    <x v="10"/>
    <n v="5.35"/>
    <s v="Mr. Salami"/>
    <n v="200000"/>
  </r>
  <r>
    <d v="2025-05-10T00:00:00"/>
    <x v="7"/>
    <s v="SRL-01"/>
    <n v="5"/>
    <n v="31.9"/>
    <n v="168.1"/>
    <n v="1"/>
    <n v="5"/>
    <x v="3"/>
    <n v="6.38"/>
    <s v="Mrs. Okafor"/>
    <n v="503000"/>
  </r>
  <r>
    <d v="2025-11-22T00:00:00"/>
    <x v="0"/>
    <s v="ALM-03"/>
    <n v="4"/>
    <n v="38.700000000000003"/>
    <n v="159.1"/>
    <n v="1"/>
    <n v="11"/>
    <x v="4"/>
    <n v="9.6750000000000007"/>
    <s v="Mr. Bello"/>
    <n v="1288000"/>
  </r>
  <r>
    <d v="2025-05-01T00:00:00"/>
    <x v="3"/>
    <s v="EPE-02"/>
    <n v="4"/>
    <n v="17.5"/>
    <n v="132"/>
    <n v="3"/>
    <n v="5"/>
    <x v="3"/>
    <n v="4.375"/>
    <s v="Mr. Ogunleye"/>
    <n v="181000"/>
  </r>
  <r>
    <d v="2025-08-29T00:00:00"/>
    <x v="0"/>
    <s v="ALM-04"/>
    <n v="6"/>
    <n v="46.8"/>
    <n v="241.4"/>
    <n v="0"/>
    <n v="8"/>
    <x v="6"/>
    <n v="7.8"/>
    <s v="Mr. Bello"/>
    <n v="1288000"/>
  </r>
  <r>
    <d v="2025-05-11T00:00:00"/>
    <x v="3"/>
    <s v="EPE-01"/>
    <n v="5"/>
    <n v="19.100000000000001"/>
    <n v="194.5"/>
    <n v="1"/>
    <n v="5"/>
    <x v="3"/>
    <n v="3.8200000000000003"/>
    <s v="Mr. Ogunleye"/>
    <n v="181000"/>
  </r>
  <r>
    <d v="2025-01-21T00:00:00"/>
    <x v="6"/>
    <s v="LKK-01"/>
    <n v="3"/>
    <n v="14.4"/>
    <n v="106.3"/>
    <n v="2"/>
    <n v="1"/>
    <x v="0"/>
    <n v="4.8"/>
    <s v="Mr. Salami"/>
    <n v="200000"/>
  </r>
  <r>
    <d v="2025-10-11T00:00:00"/>
    <x v="6"/>
    <s v="LKK-01"/>
    <n v="6"/>
    <n v="37.299999999999997"/>
    <n v="235.2"/>
    <n v="3"/>
    <n v="10"/>
    <x v="9"/>
    <n v="6.2166666666666659"/>
    <s v="Mr. Salami"/>
    <n v="200000"/>
  </r>
  <r>
    <d v="2025-09-20T00:00:00"/>
    <x v="7"/>
    <s v="SRL-02"/>
    <n v="4"/>
    <n v="24.4"/>
    <n v="168.5"/>
    <n v="1"/>
    <n v="9"/>
    <x v="10"/>
    <n v="6.1"/>
    <s v="Mrs. Okafor"/>
    <n v="503000"/>
  </r>
  <r>
    <d v="2025-08-28T00:00:00"/>
    <x v="0"/>
    <s v="ALM-01"/>
    <n v="2"/>
    <n v="13.5"/>
    <n v="70.900000000000006"/>
    <n v="2"/>
    <n v="8"/>
    <x v="6"/>
    <n v="6.75"/>
    <s v="Mr. Bello"/>
    <n v="1288000"/>
  </r>
  <r>
    <d v="2025-06-23T00:00:00"/>
    <x v="6"/>
    <s v="LKK-02"/>
    <n v="2"/>
    <n v="11.3"/>
    <n v="77.099999999999994"/>
    <n v="0"/>
    <n v="6"/>
    <x v="7"/>
    <n v="5.65"/>
    <s v="Mr. Salami"/>
    <n v="200000"/>
  </r>
  <r>
    <d v="2025-12-07T00:00:00"/>
    <x v="2"/>
    <s v="BDG-02"/>
    <n v="2"/>
    <n v="9.1999999999999993"/>
    <n v="67.900000000000006"/>
    <n v="4"/>
    <n v="12"/>
    <x v="11"/>
    <n v="4.5999999999999996"/>
    <s v="Mrs. Johnson"/>
    <n v="241000"/>
  </r>
  <r>
    <d v="2025-02-25T00:00:00"/>
    <x v="7"/>
    <s v="SRL-01"/>
    <n v="2"/>
    <n v="11.7"/>
    <m/>
    <n v="1"/>
    <n v="2"/>
    <x v="5"/>
    <n v="5.85"/>
    <s v="Mrs. Okafor"/>
    <n v="503000"/>
  </r>
  <r>
    <d v="2025-05-20T00:00:00"/>
    <x v="6"/>
    <s v="LKK-02"/>
    <n v="5"/>
    <n v="26.3"/>
    <n v="217.7"/>
    <n v="0"/>
    <n v="5"/>
    <x v="3"/>
    <n v="5.26"/>
    <s v="Mr. Salami"/>
    <n v="200000"/>
  </r>
  <r>
    <d v="2025-08-10T00:00:00"/>
    <x v="6"/>
    <s v="LKK-01"/>
    <n v="3"/>
    <n v="13.7"/>
    <n v="135.19999999999999"/>
    <n v="2"/>
    <n v="8"/>
    <x v="6"/>
    <n v="4.5666666666666664"/>
    <s v="Mr. Salami"/>
    <n v="200000"/>
  </r>
  <r>
    <d v="2025-01-14T00:00:00"/>
    <x v="1"/>
    <s v="MSH-02"/>
    <n v="5"/>
    <n v="34.4"/>
    <n v="131.6"/>
    <n v="2"/>
    <n v="1"/>
    <x v="0"/>
    <n v="6.88"/>
    <s v="Mrs. Adisa"/>
    <n v="633000"/>
  </r>
  <r>
    <d v="2025-05-02T00:00:00"/>
    <x v="2"/>
    <s v="BDG-02"/>
    <n v="5"/>
    <n v="19.899999999999999"/>
    <n v="215.5"/>
    <n v="0"/>
    <n v="5"/>
    <x v="3"/>
    <n v="3.9799999999999995"/>
    <s v="Mrs. Johnson"/>
    <n v="241000"/>
  </r>
  <r>
    <d v="2025-05-24T00:00:00"/>
    <x v="3"/>
    <s v="EPE-02"/>
    <n v="4"/>
    <n v="16"/>
    <n v="167.5"/>
    <n v="0"/>
    <n v="5"/>
    <x v="3"/>
    <n v="4"/>
    <s v="Mr. Ogunleye"/>
    <n v="181000"/>
  </r>
  <r>
    <d v="2025-12-28T00:00:00"/>
    <x v="2"/>
    <s v="BDG-01"/>
    <n v="4"/>
    <n v="22.3"/>
    <n v="157.6"/>
    <n v="4"/>
    <n v="12"/>
    <x v="11"/>
    <n v="5.5750000000000002"/>
    <s v="Mrs. Johnson"/>
    <n v="241000"/>
  </r>
  <r>
    <d v="2025-09-15T00:00:00"/>
    <x v="4"/>
    <s v="IKD-02"/>
    <n v="5"/>
    <n v="24.1"/>
    <n v="157.19999999999999"/>
    <n v="1"/>
    <n v="9"/>
    <x v="10"/>
    <n v="4.82"/>
    <s v="Mrs. Eze"/>
    <n v="535000"/>
  </r>
  <r>
    <d v="2025-02-20T00:00:00"/>
    <x v="3"/>
    <s v="EPE-02"/>
    <n v="2"/>
    <n v="6.2"/>
    <n v="75.8"/>
    <n v="1"/>
    <n v="2"/>
    <x v="5"/>
    <n v="3.1"/>
    <s v="Mr. Ogunleye"/>
    <n v="181000"/>
  </r>
  <r>
    <d v="2025-12-07T00:00:00"/>
    <x v="2"/>
    <s v="BDG-02"/>
    <n v="3"/>
    <n v="15.1"/>
    <n v="101.5"/>
    <n v="2"/>
    <n v="12"/>
    <x v="11"/>
    <n v="5.0333333333333332"/>
    <s v="Mrs. Johnson"/>
    <n v="241000"/>
  </r>
  <r>
    <d v="2025-06-14T00:00:00"/>
    <x v="5"/>
    <s v="IKJ-02"/>
    <n v="2"/>
    <n v="14.3"/>
    <n v="74.400000000000006"/>
    <m/>
    <n v="6"/>
    <x v="7"/>
    <n v="7.15"/>
    <s v="Mr. Adeyemi"/>
    <n v="313000"/>
  </r>
  <r>
    <d v="2025-08-29T00:00:00"/>
    <x v="0"/>
    <s v="ALM-04"/>
    <n v="4"/>
    <n v="30.5"/>
    <n v="152.5"/>
    <n v="0"/>
    <n v="8"/>
    <x v="6"/>
    <n v="7.625"/>
    <s v="Mr. Bello"/>
    <n v="1288000"/>
  </r>
  <r>
    <d v="2025-03-08T00:00:00"/>
    <x v="5"/>
    <s v="IKJ-03"/>
    <n v="6"/>
    <n v="45.8"/>
    <n v="251.1"/>
    <n v="0"/>
    <n v="3"/>
    <x v="2"/>
    <n v="7.6333333333333329"/>
    <s v="Mr. Adeyemi"/>
    <n v="313000"/>
  </r>
  <r>
    <d v="2025-07-28T00:00:00"/>
    <x v="5"/>
    <s v="IKJ-02"/>
    <n v="3"/>
    <n v="18"/>
    <n v="109.7"/>
    <n v="1"/>
    <n v="7"/>
    <x v="1"/>
    <n v="6"/>
    <s v="Mr. Adeyemi"/>
    <n v="313000"/>
  </r>
  <r>
    <d v="2025-02-28T00:00:00"/>
    <x v="1"/>
    <s v="MSH-03"/>
    <n v="4"/>
    <n v="19.2"/>
    <n v="157.19999999999999"/>
    <n v="3"/>
    <n v="2"/>
    <x v="5"/>
    <n v="4.8"/>
    <s v="Mrs. Adisa"/>
    <n v="633000"/>
  </r>
  <r>
    <d v="2025-04-09T00:00:00"/>
    <x v="4"/>
    <s v="IKD-02"/>
    <n v="6"/>
    <n v="25.7"/>
    <n v="198.4"/>
    <n v="1"/>
    <n v="4"/>
    <x v="8"/>
    <n v="4.2833333333333332"/>
    <s v="Mrs. Eze"/>
    <n v="535000"/>
  </r>
  <r>
    <d v="2025-01-14T00:00:00"/>
    <x v="0"/>
    <s v="ALM-03"/>
    <n v="5"/>
    <n v="34.200000000000003"/>
    <n v="143.5"/>
    <n v="0"/>
    <n v="1"/>
    <x v="0"/>
    <n v="6.8400000000000007"/>
    <s v="Mr. Bello"/>
    <n v="1288000"/>
  </r>
  <r>
    <d v="2025-05-16T00:00:00"/>
    <x v="3"/>
    <s v="EPE-01"/>
    <n v="6"/>
    <n v="22.3"/>
    <n v="223.6"/>
    <n v="2"/>
    <n v="5"/>
    <x v="3"/>
    <n v="3.7166666666666668"/>
    <s v="Mr. Ogunleye"/>
    <n v="181000"/>
  </r>
  <r>
    <d v="2025-12-11T00:00:00"/>
    <x v="5"/>
    <s v="IKJ-01"/>
    <n v="4"/>
    <n v="35.200000000000003"/>
    <n v="139.1"/>
    <n v="1"/>
    <n v="12"/>
    <x v="11"/>
    <n v="8.8000000000000007"/>
    <s v="Mr. Adeyemi"/>
    <n v="313000"/>
  </r>
  <r>
    <d v="2025-05-17T00:00:00"/>
    <x v="7"/>
    <s v="SRL-01"/>
    <n v="5"/>
    <n v="29.7"/>
    <n v="216.9"/>
    <n v="0"/>
    <n v="5"/>
    <x v="3"/>
    <n v="5.9399999999999995"/>
    <s v="Mrs. Okafor"/>
    <n v="503000"/>
  </r>
  <r>
    <d v="2025-01-18T00:00:00"/>
    <x v="6"/>
    <s v="LKK-01"/>
    <n v="4"/>
    <n v="16.8"/>
    <n v="169.2"/>
    <n v="1"/>
    <n v="1"/>
    <x v="0"/>
    <n v="4.2"/>
    <s v="Mr. Salami"/>
    <n v="200000"/>
  </r>
  <r>
    <d v="2025-03-10T00:00:00"/>
    <x v="4"/>
    <s v="IKD-03"/>
    <n v="2"/>
    <n v="8.3000000000000007"/>
    <n v="75"/>
    <n v="4"/>
    <n v="3"/>
    <x v="2"/>
    <n v="4.1500000000000004"/>
    <s v="Mrs. Eze"/>
    <n v="535000"/>
  </r>
  <r>
    <d v="2025-10-23T00:00:00"/>
    <x v="7"/>
    <s v="SRL-03"/>
    <n v="4"/>
    <n v="26.6"/>
    <n v="165.2"/>
    <n v="2"/>
    <n v="10"/>
    <x v="9"/>
    <n v="6.65"/>
    <s v="Mrs. Okafor"/>
    <n v="503000"/>
  </r>
  <r>
    <d v="2025-02-09T00:00:00"/>
    <x v="2"/>
    <s v="BDG-01"/>
    <n v="5"/>
    <n v="17.899999999999999"/>
    <n v="191.4"/>
    <n v="1"/>
    <n v="2"/>
    <x v="5"/>
    <n v="3.5799999999999996"/>
    <s v="Mrs. Johnson"/>
    <n v="241000"/>
  </r>
  <r>
    <d v="2025-03-22T00:00:00"/>
    <x v="4"/>
    <s v="IKD-02"/>
    <n v="5"/>
    <n v="18.399999999999999"/>
    <m/>
    <n v="2"/>
    <n v="3"/>
    <x v="2"/>
    <n v="3.6799999999999997"/>
    <s v="Mrs. Eze"/>
    <n v="535000"/>
  </r>
  <r>
    <d v="2025-06-19T00:00:00"/>
    <x v="5"/>
    <s v="IKJ-03"/>
    <n v="6"/>
    <n v="42.7"/>
    <n v="186.8"/>
    <n v="1"/>
    <n v="6"/>
    <x v="7"/>
    <n v="7.1166666666666671"/>
    <s v="Mr. Adeyemi"/>
    <n v="313000"/>
  </r>
  <r>
    <d v="2025-06-14T00:00:00"/>
    <x v="0"/>
    <s v="ALM-03"/>
    <n v="6"/>
    <n v="38.299999999999997"/>
    <n v="237.1"/>
    <n v="1"/>
    <n v="6"/>
    <x v="7"/>
    <n v="6.3833333333333329"/>
    <s v="Mr. Bello"/>
    <n v="1288000"/>
  </r>
  <r>
    <d v="2025-12-09T00:00:00"/>
    <x v="4"/>
    <s v="IKD-01"/>
    <n v="4"/>
    <n v="19.2"/>
    <n v="159.5"/>
    <n v="3"/>
    <n v="12"/>
    <x v="11"/>
    <n v="4.8"/>
    <s v="Mrs. Eze"/>
    <n v="535000"/>
  </r>
  <r>
    <d v="2025-06-18T00:00:00"/>
    <x v="4"/>
    <s v="IKD-03"/>
    <n v="6"/>
    <n v="24.3"/>
    <n v="244.5"/>
    <n v="2"/>
    <n v="6"/>
    <x v="7"/>
    <n v="4.05"/>
    <s v="Mrs. Eze"/>
    <n v="535000"/>
  </r>
  <r>
    <d v="2025-08-25T00:00:00"/>
    <x v="4"/>
    <s v="IKD-01"/>
    <n v="2"/>
    <n v="8.1999999999999993"/>
    <n v="73.3"/>
    <n v="3"/>
    <n v="8"/>
    <x v="6"/>
    <n v="4.0999999999999996"/>
    <s v="Mrs. Eze"/>
    <n v="535000"/>
  </r>
  <r>
    <d v="2025-11-21T00:00:00"/>
    <x v="3"/>
    <s v="EPE-02"/>
    <n v="2"/>
    <n v="5.5"/>
    <n v="62.2"/>
    <n v="1"/>
    <n v="11"/>
    <x v="4"/>
    <n v="2.75"/>
    <s v="Mr. Ogunleye"/>
    <n v="181000"/>
  </r>
  <r>
    <d v="2025-05-29T00:00:00"/>
    <x v="1"/>
    <s v="MSH-02"/>
    <n v="4"/>
    <n v="27.8"/>
    <n v="158.80000000000001"/>
    <n v="2"/>
    <n v="5"/>
    <x v="3"/>
    <n v="6.95"/>
    <s v="Mrs. Adisa"/>
    <n v="633000"/>
  </r>
  <r>
    <d v="2025-02-24T00:00:00"/>
    <x v="0"/>
    <s v="ALM-04"/>
    <n v="3"/>
    <n v="26.2"/>
    <n v="91.4"/>
    <n v="0"/>
    <n v="2"/>
    <x v="5"/>
    <n v="8.7333333333333325"/>
    <s v="Mr. Bello"/>
    <n v="1288000"/>
  </r>
  <r>
    <d v="2025-04-28T00:00:00"/>
    <x v="0"/>
    <s v="ALM-03"/>
    <n v="2"/>
    <n v="15.6"/>
    <n v="68.599999999999994"/>
    <n v="0"/>
    <n v="4"/>
    <x v="8"/>
    <n v="7.8"/>
    <s v="Mr. Bello"/>
    <n v="1288000"/>
  </r>
  <r>
    <d v="2025-03-13T00:00:00"/>
    <x v="2"/>
    <s v="BDG-02"/>
    <n v="3"/>
    <n v="10"/>
    <n v="66.8"/>
    <n v="4"/>
    <n v="3"/>
    <x v="2"/>
    <n v="3.3333333333333335"/>
    <s v="Mrs. Johnson"/>
    <n v="241000"/>
  </r>
  <r>
    <d v="2025-12-04T00:00:00"/>
    <x v="4"/>
    <s v="IKD-01"/>
    <n v="5"/>
    <n v="29.6"/>
    <n v="201.4"/>
    <n v="5"/>
    <n v="12"/>
    <x v="11"/>
    <n v="5.92"/>
    <s v="Mrs. Eze"/>
    <n v="535000"/>
  </r>
  <r>
    <d v="2025-06-22T00:00:00"/>
    <x v="5"/>
    <s v="IKJ-02"/>
    <n v="6"/>
    <n v="34.799999999999997"/>
    <n v="254.1"/>
    <n v="0"/>
    <n v="6"/>
    <x v="7"/>
    <n v="5.8"/>
    <s v="Mr. Adeyemi"/>
    <n v="313000"/>
  </r>
  <r>
    <d v="2025-12-02T00:00:00"/>
    <x v="5"/>
    <s v="IKJ-02"/>
    <n v="2"/>
    <n v="19.8"/>
    <n v="85.4"/>
    <n v="2"/>
    <n v="12"/>
    <x v="11"/>
    <n v="9.9"/>
    <s v="Mr. Adeyemi"/>
    <n v="313000"/>
  </r>
  <r>
    <d v="2025-10-15T00:00:00"/>
    <x v="6"/>
    <s v="LKK-01"/>
    <n v="5"/>
    <n v="22.9"/>
    <n v="193.4"/>
    <n v="1"/>
    <n v="10"/>
    <x v="9"/>
    <n v="4.58"/>
    <s v="Mr. Salami"/>
    <n v="200000"/>
  </r>
  <r>
    <d v="2025-01-24T00:00:00"/>
    <x v="2"/>
    <s v="BDG-01"/>
    <n v="3"/>
    <n v="10"/>
    <n v="111.3"/>
    <n v="3"/>
    <n v="1"/>
    <x v="0"/>
    <n v="3.3333333333333335"/>
    <s v="Mrs. Johnson"/>
    <n v="241000"/>
  </r>
  <r>
    <d v="2025-02-12T00:00:00"/>
    <x v="5"/>
    <s v="IKJ-01"/>
    <n v="2"/>
    <m/>
    <n v="79.7"/>
    <n v="0"/>
    <n v="2"/>
    <x v="5"/>
    <m/>
    <s v="Mr. Adeyemi"/>
    <n v="313000"/>
  </r>
  <r>
    <d v="2025-01-13T00:00:00"/>
    <x v="5"/>
    <s v="IKJ-03"/>
    <n v="2"/>
    <n v="12.6"/>
    <n v="66.3"/>
    <n v="1"/>
    <n v="1"/>
    <x v="0"/>
    <n v="6.3"/>
    <s v="Mr. Adeyemi"/>
    <n v="313000"/>
  </r>
  <r>
    <d v="2025-04-30T00:00:00"/>
    <x v="0"/>
    <s v="ALM-04"/>
    <n v="4"/>
    <n v="29.3"/>
    <n v="181.8"/>
    <n v="1"/>
    <n v="4"/>
    <x v="8"/>
    <n v="7.3250000000000002"/>
    <s v="Mr. Bello"/>
    <n v="1288000"/>
  </r>
  <r>
    <d v="2025-10-25T00:00:00"/>
    <x v="7"/>
    <s v="SRL-03"/>
    <n v="3"/>
    <n v="17"/>
    <n v="132.6"/>
    <n v="1"/>
    <n v="10"/>
    <x v="9"/>
    <n v="5.666666666666667"/>
    <s v="Mrs. Okafor"/>
    <n v="503000"/>
  </r>
  <r>
    <d v="2025-01-11T00:00:00"/>
    <x v="0"/>
    <s v="ALM-01"/>
    <n v="3"/>
    <n v="21.2"/>
    <n v="121.9"/>
    <n v="3"/>
    <n v="1"/>
    <x v="0"/>
    <n v="7.0666666666666664"/>
    <s v="Mr. Bello"/>
    <n v="1288000"/>
  </r>
  <r>
    <d v="2025-02-28T00:00:00"/>
    <x v="3"/>
    <s v="EPE-02"/>
    <n v="2"/>
    <n v="6.1"/>
    <n v="61.3"/>
    <n v="4"/>
    <n v="2"/>
    <x v="5"/>
    <n v="3.05"/>
    <s v="Mr. Ogunleye"/>
    <n v="181000"/>
  </r>
  <r>
    <d v="2025-02-22T00:00:00"/>
    <x v="4"/>
    <s v="IKD-03"/>
    <n v="3"/>
    <n v="11.2"/>
    <n v="91.8"/>
    <n v="3"/>
    <n v="2"/>
    <x v="5"/>
    <n v="3.7333333333333329"/>
    <s v="Mrs. Eze"/>
    <n v="535000"/>
  </r>
  <r>
    <d v="2025-11-08T00:00:00"/>
    <x v="3"/>
    <s v="EPE-02"/>
    <n v="3"/>
    <n v="13.8"/>
    <n v="98.8"/>
    <n v="0"/>
    <n v="11"/>
    <x v="4"/>
    <n v="4.6000000000000005"/>
    <s v="Mr. Ogunleye"/>
    <n v="181000"/>
  </r>
  <r>
    <d v="2025-10-31T00:00:00"/>
    <x v="1"/>
    <s v="MSH-03"/>
    <n v="6"/>
    <n v="49.5"/>
    <n v="253.2"/>
    <n v="2"/>
    <n v="10"/>
    <x v="9"/>
    <n v="8.25"/>
    <s v="Mrs. Adisa"/>
    <n v="633000"/>
  </r>
  <r>
    <d v="2025-05-15T00:00:00"/>
    <x v="5"/>
    <s v="IKJ-02"/>
    <n v="6"/>
    <n v="36"/>
    <m/>
    <n v="0"/>
    <n v="5"/>
    <x v="3"/>
    <n v="6"/>
    <s v="Mr. Adeyemi"/>
    <n v="313000"/>
  </r>
  <r>
    <d v="2025-08-19T00:00:00"/>
    <x v="4"/>
    <s v="IKD-01"/>
    <n v="5"/>
    <n v="14.3"/>
    <n v="237"/>
    <n v="3"/>
    <n v="8"/>
    <x v="6"/>
    <n v="2.8600000000000003"/>
    <s v="Mrs. Eze"/>
    <n v="535000"/>
  </r>
  <r>
    <d v="2025-12-22T00:00:00"/>
    <x v="1"/>
    <s v="MSH-01"/>
    <n v="3"/>
    <n v="31.1"/>
    <n v="117.9"/>
    <n v="1"/>
    <n v="12"/>
    <x v="11"/>
    <n v="10.366666666666667"/>
    <s v="Mrs. Adisa"/>
    <n v="633000"/>
  </r>
  <r>
    <d v="2025-02-22T00:00:00"/>
    <x v="3"/>
    <s v="EPE-01"/>
    <n v="3"/>
    <n v="12.9"/>
    <n v="105.3"/>
    <n v="2"/>
    <n v="2"/>
    <x v="5"/>
    <n v="4.3"/>
    <s v="Mr. Ogunleye"/>
    <n v="181000"/>
  </r>
  <r>
    <d v="2025-01-27T00:00:00"/>
    <x v="0"/>
    <s v="ALM-01"/>
    <n v="6"/>
    <n v="39.4"/>
    <n v="187.4"/>
    <n v="0"/>
    <n v="1"/>
    <x v="0"/>
    <n v="6.5666666666666664"/>
    <s v="Mr. Bello"/>
    <n v="1288000"/>
  </r>
  <r>
    <d v="2025-07-02T00:00:00"/>
    <x v="5"/>
    <s v="IKJ-01"/>
    <n v="6"/>
    <n v="34.5"/>
    <n v="229.2"/>
    <n v="0"/>
    <n v="7"/>
    <x v="1"/>
    <n v="5.75"/>
    <s v="Mr. Adeyemi"/>
    <n v="313000"/>
  </r>
  <r>
    <d v="2025-01-12T00:00:00"/>
    <x v="2"/>
    <s v="BDG-02"/>
    <n v="2"/>
    <n v="7.9"/>
    <n v="81"/>
    <n v="1"/>
    <n v="1"/>
    <x v="0"/>
    <n v="3.95"/>
    <s v="Mrs. Johnson"/>
    <n v="241000"/>
  </r>
  <r>
    <d v="2025-02-26T00:00:00"/>
    <x v="0"/>
    <s v="ALM-01"/>
    <n v="6"/>
    <n v="38.200000000000003"/>
    <n v="248.8"/>
    <n v="3"/>
    <n v="2"/>
    <x v="5"/>
    <n v="6.3666666666666671"/>
    <s v="Mr. Bello"/>
    <n v="1288000"/>
  </r>
  <r>
    <d v="2025-11-21T00:00:00"/>
    <x v="5"/>
    <s v="IKJ-02"/>
    <n v="6"/>
    <n v="42.7"/>
    <n v="267.2"/>
    <n v="0"/>
    <n v="11"/>
    <x v="4"/>
    <n v="7.1166666666666671"/>
    <s v="Mr. Adeyemi"/>
    <n v="313000"/>
  </r>
  <r>
    <d v="2025-08-28T00:00:00"/>
    <x v="4"/>
    <s v="IKD-01"/>
    <n v="6"/>
    <n v="19.5"/>
    <m/>
    <n v="3"/>
    <n v="8"/>
    <x v="6"/>
    <n v="3.25"/>
    <s v="Mrs. Eze"/>
    <n v="535000"/>
  </r>
  <r>
    <m/>
    <x v="8"/>
    <m/>
    <m/>
    <m/>
    <m/>
    <m/>
    <m/>
    <x v="12"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08380-6618-4D89-992E-70B10B4935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9:B32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4">
        <item x="0"/>
        <item x="5"/>
        <item x="2"/>
        <item x="8"/>
        <item x="3"/>
        <item x="7"/>
        <item x="1"/>
        <item x="6"/>
        <item x="10"/>
        <item x="9"/>
        <item x="4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13">
    <i>
      <x v="11"/>
    </i>
    <i>
      <x v="5"/>
    </i>
    <i>
      <x v="2"/>
    </i>
    <i>
      <x/>
    </i>
    <i>
      <x v="6"/>
    </i>
    <i>
      <x v="9"/>
    </i>
    <i>
      <x v="8"/>
    </i>
    <i>
      <x v="10"/>
    </i>
    <i>
      <x v="4"/>
    </i>
    <i>
      <x v="3"/>
    </i>
    <i>
      <x v="1"/>
    </i>
    <i>
      <x v="7"/>
    </i>
    <i t="grand">
      <x/>
    </i>
  </rowItems>
  <colItems count="1">
    <i/>
  </colItems>
  <dataFields count="1">
    <dataField name="Sum of Tonnage" fld="4" baseField="8" baseItem="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11917-C51C-4E4A-ACA3-0366413C70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12">
    <pivotField showAll="0"/>
    <pivotField axis="axisRow" showAll="0" sortType="descending">
      <items count="10">
        <item x="0"/>
        <item x="2"/>
        <item x="3"/>
        <item x="5"/>
        <item x="4"/>
        <item x="6"/>
        <item x="1"/>
        <item x="7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9">
    <i>
      <x/>
    </i>
    <i>
      <x v="6"/>
    </i>
    <i>
      <x v="3"/>
    </i>
    <i>
      <x v="7"/>
    </i>
    <i>
      <x v="5"/>
    </i>
    <i>
      <x v="4"/>
    </i>
    <i>
      <x v="1"/>
    </i>
    <i>
      <x v="2"/>
    </i>
    <i t="grand">
      <x/>
    </i>
  </rowItems>
  <colItems count="1">
    <i/>
  </colItems>
  <dataFields count="1">
    <dataField name="Average of Tonage per Trip" fld="9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D6762-F1D0-48FF-8D8E-207C0636CC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5:G14" firstHeaderRow="1" firstDataRow="1" firstDataCol="1"/>
  <pivotFields count="12">
    <pivotField showAll="0"/>
    <pivotField axis="axisRow" showAll="0" sortType="descending">
      <items count="10">
        <item x="0"/>
        <item x="2"/>
        <item x="3"/>
        <item x="5"/>
        <item x="4"/>
        <item x="6"/>
        <item x="1"/>
        <item x="7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4"/>
    </i>
    <i>
      <x v="1"/>
    </i>
    <i>
      <x v="2"/>
    </i>
    <i>
      <x v="6"/>
    </i>
    <i>
      <x v="5"/>
    </i>
    <i>
      <x/>
    </i>
    <i>
      <x v="3"/>
    </i>
    <i>
      <x v="7"/>
    </i>
    <i t="grand">
      <x/>
    </i>
  </rowItems>
  <colItems count="1">
    <i/>
  </colItems>
  <dataFields count="1">
    <dataField name="Average of Missed Pickups" fld="6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DAAC02-87D6-4EF2-859B-77A0C2A7E8D6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Zone" tableColumnId="2"/>
      <queryTableField id="3" name="Truck ID" tableColumnId="3"/>
      <queryTableField id="4" name="Trips" tableColumnId="4"/>
      <queryTableField id="5" name="Tonnage" tableColumnId="5"/>
      <queryTableField id="6" name="Fuel Used (L)" tableColumnId="6"/>
      <queryTableField id="7" name="Missed Pickup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D662CF0-5DDF-47E7-B27C-3AC566DBE373}" autoFormatId="16" applyNumberFormats="0" applyBorderFormats="0" applyFontFormats="0" applyPatternFormats="0" applyAlignmentFormats="0" applyWidthHeightFormats="0">
  <queryTableRefresh nextId="4">
    <queryTableFields count="3">
      <queryTableField id="1" name="Zone" tableColumnId="1"/>
      <queryTableField id="2" name="Supervisor" tableColumnId="2"/>
      <queryTableField id="3" name="Popula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95F8852-B379-455C-8CF1-0848638B0711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Date" tableColumnId="1"/>
      <queryTableField id="2" name="Zone" tableColumnId="2"/>
      <queryTableField id="3" name="Truck ID" tableColumnId="3"/>
      <queryTableField id="4" name="Trips" tableColumnId="4"/>
      <queryTableField id="5" name="Tonnage" tableColumnId="5"/>
      <queryTableField id="6" name="Fuel Used (L)" tableColumnId="6"/>
      <queryTableField id="7" name="Missed Pickups" tableColumnId="7"/>
      <queryTableField id="8" name="Month" tableColumnId="8"/>
      <queryTableField id="9" name="Month Name" tableColumnId="9"/>
      <queryTableField id="10" name="Tonage Per Trip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B1D4E-FABE-4378-8C6B-4126A75931D6}" name="waste_collection_raw" displayName="waste_collection_raw" ref="A1:G1031" tableType="queryTable" totalsRowShown="0">
  <autoFilter ref="A1:G1031" xr:uid="{8F7B1D4E-FABE-4378-8C6B-4126A75931D6}"/>
  <tableColumns count="7">
    <tableColumn id="1" xr3:uid="{007E0F7C-8CA3-4D49-9BB6-D503DA940C56}" uniqueName="1" name="Date" queryTableFieldId="1" dataDxfId="19"/>
    <tableColumn id="2" xr3:uid="{A8E88001-53F4-450D-A933-06176EA66C9F}" uniqueName="2" name="Zone" queryTableFieldId="2" dataDxfId="18"/>
    <tableColumn id="3" xr3:uid="{653ACA09-D226-478E-BAE5-0ECA4B006245}" uniqueName="3" name="Truck ID" queryTableFieldId="3" dataDxfId="17"/>
    <tableColumn id="4" xr3:uid="{0BECBCBC-F57B-4B31-AE3D-D17871A30165}" uniqueName="4" name="Trips" queryTableFieldId="4" dataDxfId="16"/>
    <tableColumn id="5" xr3:uid="{A5E95D8D-17C7-40DF-8216-56B5F640F5BC}" uniqueName="5" name="Tonnage" queryTableFieldId="5" dataDxfId="15"/>
    <tableColumn id="6" xr3:uid="{8BDF284A-9329-4DB0-B831-C54E2ADCE766}" uniqueName="6" name="Fuel Used (L)" queryTableFieldId="6" dataDxfId="14"/>
    <tableColumn id="7" xr3:uid="{D70C5445-CC88-413D-A59B-D02479C7B5C1}" uniqueName="7" name="Missed Pickups" queryTableFieldId="7" dataDxfId="13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169627-4F01-47E5-9489-3836612F8440}" name="zones_lookup" displayName="zones_lookup" ref="A1:C9" tableType="queryTable" totalsRowShown="0">
  <autoFilter ref="A1:C9" xr:uid="{6C169627-4F01-47E5-9489-3836612F8440}"/>
  <tableColumns count="3">
    <tableColumn id="1" xr3:uid="{11B19454-693F-4E9C-9A30-C81A28D36EA8}" uniqueName="1" name="Zone" queryTableFieldId="1" dataDxfId="12"/>
    <tableColumn id="2" xr3:uid="{367D9F9A-E271-4A1B-9610-A335E30BD43E}" uniqueName="2" name="Supervisor" queryTableFieldId="2" dataDxfId="11"/>
    <tableColumn id="3" xr3:uid="{D735B7DC-1C40-404A-8991-E931B878C587}" uniqueName="3" name="Population" queryTableFieldId="3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57687-638B-4F10-AF0D-01A072C345BF}" name="Clean_data" displayName="Clean_data" ref="A1:L1002" tableType="queryTable" totalsRowShown="0">
  <autoFilter ref="A1:L1002" xr:uid="{D3A57687-638B-4F10-AF0D-01A072C345BF}"/>
  <tableColumns count="12">
    <tableColumn id="1" xr3:uid="{0498CE34-BBA7-4DA6-82CB-5815B65CF97E}" uniqueName="1" name="Date" queryTableFieldId="1" dataDxfId="10"/>
    <tableColumn id="2" xr3:uid="{06C5FB06-3CE7-48DD-8D8B-A78B409C0FC0}" uniqueName="2" name="Zone" queryTableFieldId="2" dataDxfId="9"/>
    <tableColumn id="3" xr3:uid="{54B1FD11-51BD-4F6A-A43C-6B6A9618447D}" uniqueName="3" name="Truck ID" queryTableFieldId="3" dataDxfId="8"/>
    <tableColumn id="4" xr3:uid="{B0A2E4B9-8CBC-4C1F-8680-CB35305DF329}" uniqueName="4" name="Trips" queryTableFieldId="4" dataDxfId="7"/>
    <tableColumn id="5" xr3:uid="{1477B24A-E9B7-4D78-A052-C89CEDD10E3B}" uniqueName="5" name="Tonnage" queryTableFieldId="5" dataDxfId="6"/>
    <tableColumn id="6" xr3:uid="{9DEA468B-E4FC-4D76-8DC9-0F32B17610D1}" uniqueName="6" name="Fuel Used (L)" queryTableFieldId="6" dataDxfId="5"/>
    <tableColumn id="7" xr3:uid="{62DED0C6-ADB0-4714-AE9D-1E97D26AEBC5}" uniqueName="7" name="Missed Pickups" queryTableFieldId="7" dataDxfId="4"/>
    <tableColumn id="8" xr3:uid="{869693F1-E218-4E35-909E-5B7D83EF8D9B}" uniqueName="8" name="Month" queryTableFieldId="8"/>
    <tableColumn id="9" xr3:uid="{A7960E4C-1072-41B9-A109-E5B3B765AA18}" uniqueName="9" name="Month Name" queryTableFieldId="9" dataDxfId="3"/>
    <tableColumn id="10" xr3:uid="{59C1671A-16E4-44D9-AA1E-44085B22FDC2}" uniqueName="10" name="Tonage per Trip" queryTableFieldId="10" dataDxfId="2"/>
    <tableColumn id="11" xr3:uid="{9AE6AD16-C2E9-440C-B544-4EA5ACD287D6}" uniqueName="11" name="Supervisor" queryTableFieldId="11" dataDxfId="1">
      <calculatedColumnFormula>_xlfn.XLOOKUP(B2,zones_lookup!A:A,zones_lookup!B:B,"Not found")</calculatedColumnFormula>
    </tableColumn>
    <tableColumn id="12" xr3:uid="{1C756044-13CF-420D-8BE3-E9CB8842DE7A}" uniqueName="12" name="Population" queryTableFieldId="12" dataDxfId="0">
      <calculatedColumnFormula>_xlfn.XLOOKUP(B2,zones_lookup!A:A,zones_lookup!C:C,"Not found")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6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55E894-3D13-47B8-9069-16E5E032C7CE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0a78e61e-ef61-451e-8364-e3a79823dfb0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F255-33F2-4CF9-A761-93F52EC00FC5}">
  <dimension ref="A1:C15"/>
  <sheetViews>
    <sheetView tabSelected="1" workbookViewId="0">
      <selection activeCell="C4" sqref="C4"/>
    </sheetView>
  </sheetViews>
  <sheetFormatPr defaultRowHeight="14.4" x14ac:dyDescent="0.3"/>
  <cols>
    <col min="1" max="1" width="48" customWidth="1"/>
    <col min="2" max="2" width="25.3984375" customWidth="1"/>
    <col min="3" max="3" width="39.09765625" customWidth="1"/>
  </cols>
  <sheetData>
    <row r="1" spans="1:3" ht="21.35" x14ac:dyDescent="0.45">
      <c r="A1" s="1" t="s">
        <v>0</v>
      </c>
    </row>
    <row r="2" spans="1:3" ht="21.35" x14ac:dyDescent="0.45">
      <c r="A2" s="1" t="s">
        <v>1114</v>
      </c>
    </row>
    <row r="3" spans="1:3" ht="21.35" x14ac:dyDescent="0.45">
      <c r="A3" s="1" t="s">
        <v>1</v>
      </c>
      <c r="C3" s="5"/>
    </row>
    <row r="4" spans="1:3" ht="21.35" x14ac:dyDescent="0.45">
      <c r="A4" s="1" t="s">
        <v>2</v>
      </c>
      <c r="C4" s="5"/>
    </row>
    <row r="5" spans="1:3" ht="21.35" x14ac:dyDescent="0.45">
      <c r="A5" s="1" t="s">
        <v>1117</v>
      </c>
      <c r="C5" s="5"/>
    </row>
    <row r="8" spans="1:3" ht="17.850000000000001" x14ac:dyDescent="0.35">
      <c r="A8" s="7" t="s">
        <v>3</v>
      </c>
      <c r="B8" s="7" t="s">
        <v>4</v>
      </c>
      <c r="C8" s="7" t="s">
        <v>5</v>
      </c>
    </row>
    <row r="9" spans="1:3" ht="17.850000000000001" x14ac:dyDescent="0.35">
      <c r="A9" s="5" t="s">
        <v>6</v>
      </c>
      <c r="B9" s="5" t="s">
        <v>13</v>
      </c>
      <c r="C9" s="5" t="s">
        <v>6</v>
      </c>
    </row>
    <row r="10" spans="1:3" ht="17.850000000000001" x14ac:dyDescent="0.35">
      <c r="A10" s="5" t="s">
        <v>7</v>
      </c>
      <c r="B10" s="5" t="s">
        <v>14</v>
      </c>
      <c r="C10" s="5" t="s">
        <v>1115</v>
      </c>
    </row>
    <row r="11" spans="1:3" ht="17.850000000000001" x14ac:dyDescent="0.35">
      <c r="A11" s="5" t="s">
        <v>8</v>
      </c>
      <c r="B11" s="5" t="s">
        <v>15</v>
      </c>
      <c r="C11" s="5" t="s">
        <v>1115</v>
      </c>
    </row>
    <row r="12" spans="1:3" ht="17.850000000000001" x14ac:dyDescent="0.35">
      <c r="A12" s="5" t="s">
        <v>9</v>
      </c>
      <c r="B12" s="5" t="s">
        <v>16</v>
      </c>
      <c r="C12" s="5" t="s">
        <v>1116</v>
      </c>
    </row>
    <row r="13" spans="1:3" ht="17.850000000000001" x14ac:dyDescent="0.35">
      <c r="A13" s="5" t="s">
        <v>10</v>
      </c>
      <c r="B13" s="5" t="s">
        <v>17</v>
      </c>
      <c r="C13" s="5" t="s">
        <v>1157</v>
      </c>
    </row>
    <row r="14" spans="1:3" ht="17.850000000000001" x14ac:dyDescent="0.35">
      <c r="A14" s="5" t="s">
        <v>11</v>
      </c>
      <c r="B14" s="5" t="s">
        <v>18</v>
      </c>
      <c r="C14" s="5" t="s">
        <v>1158</v>
      </c>
    </row>
    <row r="15" spans="1:3" ht="17.850000000000001" x14ac:dyDescent="0.35">
      <c r="A15" s="5" t="s">
        <v>12</v>
      </c>
      <c r="B15" s="5" t="s">
        <v>19</v>
      </c>
      <c r="C15" s="5" t="s">
        <v>1116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9C2E-8DC1-44E4-9056-74E6E7BBB60A}">
  <dimension ref="A1:D11"/>
  <sheetViews>
    <sheetView workbookViewId="0">
      <selection activeCell="B14" sqref="B14"/>
    </sheetView>
  </sheetViews>
  <sheetFormatPr defaultRowHeight="14.4" x14ac:dyDescent="0.3"/>
  <cols>
    <col min="1" max="1" width="12.69921875" bestFit="1" customWidth="1"/>
    <col min="2" max="2" width="40.296875" bestFit="1" customWidth="1"/>
    <col min="3" max="3" width="19.09765625" bestFit="1" customWidth="1"/>
    <col min="4" max="4" width="88.796875" bestFit="1" customWidth="1"/>
  </cols>
  <sheetData>
    <row r="1" spans="1:4" ht="21.35" x14ac:dyDescent="0.45">
      <c r="A1" s="1" t="s">
        <v>1109</v>
      </c>
      <c r="B1" s="1" t="s">
        <v>1111</v>
      </c>
      <c r="C1" s="1" t="s">
        <v>1112</v>
      </c>
      <c r="D1" s="1" t="s">
        <v>1110</v>
      </c>
    </row>
    <row r="2" spans="1:4" ht="16.149999999999999" x14ac:dyDescent="0.35">
      <c r="A2" s="6" t="s">
        <v>1653</v>
      </c>
      <c r="B2" s="6" t="s">
        <v>1160</v>
      </c>
      <c r="C2" s="6" t="s">
        <v>1169</v>
      </c>
      <c r="D2" s="6" t="s">
        <v>1649</v>
      </c>
    </row>
    <row r="3" spans="1:4" ht="16.149999999999999" x14ac:dyDescent="0.35">
      <c r="A3" s="6" t="s">
        <v>1113</v>
      </c>
      <c r="B3" s="6" t="s">
        <v>1161</v>
      </c>
      <c r="C3" s="6" t="s">
        <v>1647</v>
      </c>
      <c r="D3" s="6" t="s">
        <v>1654</v>
      </c>
    </row>
    <row r="4" spans="1:4" ht="16.149999999999999" x14ac:dyDescent="0.35">
      <c r="A4" s="6" t="s">
        <v>24</v>
      </c>
      <c r="B4" s="6" t="s">
        <v>1162</v>
      </c>
      <c r="C4" s="6">
        <v>24</v>
      </c>
      <c r="D4" s="6" t="s">
        <v>1650</v>
      </c>
    </row>
    <row r="5" spans="1:4" ht="16.149999999999999" x14ac:dyDescent="0.35">
      <c r="A5" s="6" t="s">
        <v>24</v>
      </c>
      <c r="B5" s="6" t="s">
        <v>1163</v>
      </c>
      <c r="C5" s="6">
        <v>15</v>
      </c>
      <c r="D5" s="6" t="s">
        <v>1651</v>
      </c>
    </row>
    <row r="6" spans="1:4" ht="16.149999999999999" x14ac:dyDescent="0.35">
      <c r="A6" s="6" t="s">
        <v>24</v>
      </c>
      <c r="B6" s="6" t="s">
        <v>1164</v>
      </c>
      <c r="C6" s="6">
        <v>5</v>
      </c>
      <c r="D6" s="6" t="s">
        <v>1655</v>
      </c>
    </row>
    <row r="7" spans="1:4" ht="16.149999999999999" x14ac:dyDescent="0.35">
      <c r="A7" s="6" t="s">
        <v>1166</v>
      </c>
      <c r="B7" s="6" t="s">
        <v>1165</v>
      </c>
      <c r="C7" s="6">
        <v>26</v>
      </c>
      <c r="D7" s="6" t="s">
        <v>1652</v>
      </c>
    </row>
    <row r="8" spans="1:4" ht="16.149999999999999" x14ac:dyDescent="0.35">
      <c r="A8" s="6" t="s">
        <v>1167</v>
      </c>
      <c r="B8" s="6" t="s">
        <v>1163</v>
      </c>
      <c r="C8" s="6">
        <v>15</v>
      </c>
      <c r="D8" s="6" t="s">
        <v>1656</v>
      </c>
    </row>
    <row r="9" spans="1:4" ht="16.149999999999999" x14ac:dyDescent="0.35">
      <c r="A9" s="6" t="s">
        <v>1159</v>
      </c>
      <c r="B9" s="6" t="s">
        <v>1163</v>
      </c>
      <c r="C9" s="6">
        <v>15</v>
      </c>
      <c r="D9" s="6" t="s">
        <v>1673</v>
      </c>
    </row>
    <row r="10" spans="1:4" ht="16.149999999999999" x14ac:dyDescent="0.35">
      <c r="A10" s="6" t="s">
        <v>20</v>
      </c>
      <c r="B10" s="6" t="s">
        <v>1168</v>
      </c>
      <c r="C10" s="6" t="s">
        <v>1648</v>
      </c>
      <c r="D10" s="6" t="s">
        <v>1657</v>
      </c>
    </row>
    <row r="11" spans="1:4" ht="16.149999999999999" x14ac:dyDescent="0.35">
      <c r="A11" s="6"/>
      <c r="B11" s="6"/>
      <c r="C11" s="6"/>
      <c r="D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C79B-D657-465E-B9A3-1BAD64C46613}">
  <dimension ref="A1:G1031"/>
  <sheetViews>
    <sheetView workbookViewId="0">
      <selection activeCell="F6" sqref="F6"/>
    </sheetView>
  </sheetViews>
  <sheetFormatPr defaultRowHeight="14.4" x14ac:dyDescent="0.3"/>
  <cols>
    <col min="1" max="1" width="10.296875" bestFit="1" customWidth="1"/>
    <col min="2" max="2" width="9.69921875" bestFit="1" customWidth="1"/>
    <col min="3" max="3" width="9.3984375" bestFit="1" customWidth="1"/>
    <col min="4" max="4" width="6.8984375" bestFit="1" customWidth="1"/>
    <col min="5" max="5" width="9.69921875" bestFit="1" customWidth="1"/>
    <col min="6" max="6" width="13.19921875" bestFit="1" customWidth="1"/>
    <col min="7" max="7" width="15.296875" bestFit="1" customWidth="1"/>
  </cols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t="s">
        <v>1289</v>
      </c>
      <c r="B2" t="s">
        <v>27</v>
      </c>
      <c r="C2" t="s">
        <v>28</v>
      </c>
      <c r="D2" t="s">
        <v>1118</v>
      </c>
      <c r="E2" t="s">
        <v>29</v>
      </c>
      <c r="F2" t="s">
        <v>30</v>
      </c>
      <c r="G2" t="s">
        <v>1118</v>
      </c>
    </row>
    <row r="3" spans="1:7" x14ac:dyDescent="0.3">
      <c r="A3" t="s">
        <v>1290</v>
      </c>
      <c r="B3" t="s">
        <v>41</v>
      </c>
      <c r="C3" t="s">
        <v>42</v>
      </c>
      <c r="D3" t="s">
        <v>1121</v>
      </c>
      <c r="E3" t="s">
        <v>43</v>
      </c>
      <c r="F3" t="s">
        <v>1170</v>
      </c>
      <c r="G3" t="s">
        <v>1122</v>
      </c>
    </row>
    <row r="4" spans="1:7" x14ac:dyDescent="0.3">
      <c r="A4" t="s">
        <v>1291</v>
      </c>
      <c r="B4" t="s">
        <v>49</v>
      </c>
      <c r="C4" t="s">
        <v>50</v>
      </c>
      <c r="D4" t="s">
        <v>1120</v>
      </c>
      <c r="E4" t="s">
        <v>51</v>
      </c>
      <c r="F4" t="s">
        <v>1171</v>
      </c>
      <c r="G4" t="s">
        <v>1118</v>
      </c>
    </row>
    <row r="5" spans="1:7" x14ac:dyDescent="0.3">
      <c r="A5" t="s">
        <v>1292</v>
      </c>
      <c r="B5" t="s">
        <v>27</v>
      </c>
      <c r="C5" t="s">
        <v>31</v>
      </c>
      <c r="D5" t="s">
        <v>1118</v>
      </c>
      <c r="E5" t="s">
        <v>32</v>
      </c>
      <c r="F5" t="s">
        <v>33</v>
      </c>
      <c r="G5" t="s">
        <v>1119</v>
      </c>
    </row>
    <row r="6" spans="1:7" x14ac:dyDescent="0.3">
      <c r="A6" t="s">
        <v>1293</v>
      </c>
      <c r="B6" t="s">
        <v>56</v>
      </c>
      <c r="C6" t="s">
        <v>57</v>
      </c>
      <c r="D6" t="s">
        <v>1118</v>
      </c>
      <c r="E6" t="s">
        <v>58</v>
      </c>
      <c r="F6" t="s">
        <v>59</v>
      </c>
      <c r="G6" t="s">
        <v>1122</v>
      </c>
    </row>
    <row r="7" spans="1:7" x14ac:dyDescent="0.3">
      <c r="A7" t="s">
        <v>1294</v>
      </c>
      <c r="B7" t="s">
        <v>60</v>
      </c>
      <c r="C7" t="s">
        <v>61</v>
      </c>
      <c r="D7" t="s">
        <v>1118</v>
      </c>
      <c r="E7" t="s">
        <v>62</v>
      </c>
      <c r="F7" t="s">
        <v>63</v>
      </c>
      <c r="G7" t="s">
        <v>1122</v>
      </c>
    </row>
    <row r="8" spans="1:7" x14ac:dyDescent="0.3">
      <c r="A8" t="s">
        <v>1295</v>
      </c>
      <c r="B8" t="s">
        <v>72</v>
      </c>
      <c r="C8" t="s">
        <v>73</v>
      </c>
      <c r="D8" t="s">
        <v>1121</v>
      </c>
      <c r="E8" t="s">
        <v>74</v>
      </c>
      <c r="F8" t="s">
        <v>75</v>
      </c>
      <c r="G8" t="s">
        <v>1118</v>
      </c>
    </row>
    <row r="9" spans="1:7" x14ac:dyDescent="0.3">
      <c r="A9" t="s">
        <v>1296</v>
      </c>
      <c r="B9" t="s">
        <v>76</v>
      </c>
      <c r="C9" t="s">
        <v>77</v>
      </c>
      <c r="D9" t="s">
        <v>700</v>
      </c>
      <c r="E9" t="s">
        <v>78</v>
      </c>
      <c r="F9" t="s">
        <v>79</v>
      </c>
      <c r="G9" t="s">
        <v>1122</v>
      </c>
    </row>
    <row r="10" spans="1:7" x14ac:dyDescent="0.3">
      <c r="A10" t="s">
        <v>1297</v>
      </c>
      <c r="B10" t="s">
        <v>89</v>
      </c>
      <c r="C10" t="s">
        <v>90</v>
      </c>
      <c r="D10" t="s">
        <v>1120</v>
      </c>
      <c r="E10" t="s">
        <v>91</v>
      </c>
      <c r="F10" t="s">
        <v>92</v>
      </c>
      <c r="G10" t="s">
        <v>1118</v>
      </c>
    </row>
    <row r="11" spans="1:7" x14ac:dyDescent="0.3">
      <c r="A11" t="s">
        <v>1298</v>
      </c>
      <c r="B11" t="s">
        <v>49</v>
      </c>
      <c r="C11" t="s">
        <v>52</v>
      </c>
      <c r="D11" t="s">
        <v>1118</v>
      </c>
      <c r="E11" t="s">
        <v>53</v>
      </c>
      <c r="F11" t="s">
        <v>1172</v>
      </c>
      <c r="G11" t="s">
        <v>1118</v>
      </c>
    </row>
    <row r="12" spans="1:7" x14ac:dyDescent="0.3">
      <c r="A12" t="s">
        <v>1299</v>
      </c>
      <c r="B12" t="s">
        <v>76</v>
      </c>
      <c r="C12" t="s">
        <v>80</v>
      </c>
      <c r="D12" t="s">
        <v>1121</v>
      </c>
      <c r="E12" t="s">
        <v>81</v>
      </c>
      <c r="F12" t="s">
        <v>82</v>
      </c>
      <c r="G12" t="s">
        <v>1122</v>
      </c>
    </row>
    <row r="13" spans="1:7" x14ac:dyDescent="0.3">
      <c r="A13" t="s">
        <v>1300</v>
      </c>
      <c r="B13" t="s">
        <v>93</v>
      </c>
      <c r="C13" t="s">
        <v>57</v>
      </c>
      <c r="D13" t="s">
        <v>700</v>
      </c>
      <c r="E13" t="s">
        <v>94</v>
      </c>
      <c r="F13" t="s">
        <v>95</v>
      </c>
      <c r="G13" t="s">
        <v>1118</v>
      </c>
    </row>
    <row r="14" spans="1:7" x14ac:dyDescent="0.3">
      <c r="A14" t="s">
        <v>1301</v>
      </c>
      <c r="B14" t="s">
        <v>41</v>
      </c>
      <c r="C14" t="s">
        <v>42</v>
      </c>
      <c r="D14" t="s">
        <v>1123</v>
      </c>
      <c r="E14" t="s">
        <v>44</v>
      </c>
      <c r="F14" t="s">
        <v>45</v>
      </c>
      <c r="G14" t="s">
        <v>1122</v>
      </c>
    </row>
    <row r="15" spans="1:7" x14ac:dyDescent="0.3">
      <c r="A15" t="s">
        <v>1302</v>
      </c>
      <c r="B15" t="s">
        <v>27</v>
      </c>
      <c r="C15" t="s">
        <v>34</v>
      </c>
      <c r="D15" t="s">
        <v>1120</v>
      </c>
      <c r="E15" t="s">
        <v>35</v>
      </c>
      <c r="F15" t="s">
        <v>36</v>
      </c>
      <c r="G15" t="s">
        <v>1118</v>
      </c>
    </row>
    <row r="16" spans="1:7" x14ac:dyDescent="0.3">
      <c r="A16" t="s">
        <v>1303</v>
      </c>
      <c r="B16" t="s">
        <v>76</v>
      </c>
      <c r="C16" t="s">
        <v>80</v>
      </c>
      <c r="D16" t="s">
        <v>1120</v>
      </c>
      <c r="E16" t="s">
        <v>66</v>
      </c>
      <c r="F16" t="s">
        <v>83</v>
      </c>
      <c r="G16" t="s">
        <v>1122</v>
      </c>
    </row>
    <row r="17" spans="1:7" x14ac:dyDescent="0.3">
      <c r="A17" t="s">
        <v>1304</v>
      </c>
      <c r="B17" t="s">
        <v>41</v>
      </c>
      <c r="C17" t="s">
        <v>46</v>
      </c>
      <c r="D17" t="s">
        <v>1118</v>
      </c>
      <c r="E17" t="s">
        <v>47</v>
      </c>
      <c r="F17" t="s">
        <v>48</v>
      </c>
      <c r="G17" t="s">
        <v>1122</v>
      </c>
    </row>
    <row r="18" spans="1:7" x14ac:dyDescent="0.3">
      <c r="A18" t="s">
        <v>1305</v>
      </c>
      <c r="B18" t="s">
        <v>108</v>
      </c>
      <c r="C18" t="s">
        <v>109</v>
      </c>
      <c r="D18" t="s">
        <v>1121</v>
      </c>
      <c r="E18" t="s">
        <v>110</v>
      </c>
      <c r="F18" t="s">
        <v>1173</v>
      </c>
      <c r="G18" t="s">
        <v>1119</v>
      </c>
    </row>
    <row r="19" spans="1:7" x14ac:dyDescent="0.3">
      <c r="A19" t="s">
        <v>1306</v>
      </c>
      <c r="B19" t="s">
        <v>49</v>
      </c>
      <c r="C19" t="s">
        <v>52</v>
      </c>
      <c r="D19" t="s">
        <v>1120</v>
      </c>
      <c r="E19" t="s">
        <v>54</v>
      </c>
      <c r="F19" t="s">
        <v>55</v>
      </c>
      <c r="G19" t="s">
        <v>1122</v>
      </c>
    </row>
    <row r="20" spans="1:7" x14ac:dyDescent="0.3">
      <c r="A20" t="s">
        <v>1307</v>
      </c>
      <c r="B20" t="s">
        <v>60</v>
      </c>
      <c r="C20" t="s">
        <v>64</v>
      </c>
      <c r="D20" t="s">
        <v>1123</v>
      </c>
      <c r="E20" t="s">
        <v>65</v>
      </c>
      <c r="F20" t="s">
        <v>66</v>
      </c>
      <c r="G20" t="s">
        <v>1118</v>
      </c>
    </row>
    <row r="21" spans="1:7" x14ac:dyDescent="0.3">
      <c r="A21" t="s">
        <v>1308</v>
      </c>
      <c r="B21" t="s">
        <v>60</v>
      </c>
      <c r="C21" t="s">
        <v>64</v>
      </c>
      <c r="D21" t="s">
        <v>1123</v>
      </c>
      <c r="E21" t="s">
        <v>67</v>
      </c>
      <c r="F21" t="s">
        <v>68</v>
      </c>
      <c r="G21" t="s">
        <v>1118</v>
      </c>
    </row>
    <row r="22" spans="1:7" x14ac:dyDescent="0.3">
      <c r="A22" t="s">
        <v>1301</v>
      </c>
      <c r="B22" t="s">
        <v>93</v>
      </c>
      <c r="C22" t="s">
        <v>57</v>
      </c>
      <c r="D22" t="s">
        <v>1118</v>
      </c>
      <c r="E22" t="s">
        <v>96</v>
      </c>
      <c r="F22" t="s">
        <v>97</v>
      </c>
      <c r="G22" t="s">
        <v>1118</v>
      </c>
    </row>
    <row r="23" spans="1:7" x14ac:dyDescent="0.3">
      <c r="A23" t="s">
        <v>1309</v>
      </c>
      <c r="B23" t="s">
        <v>60</v>
      </c>
      <c r="C23" t="s">
        <v>69</v>
      </c>
      <c r="D23" t="s">
        <v>1120</v>
      </c>
      <c r="E23" t="s">
        <v>70</v>
      </c>
      <c r="F23" t="s">
        <v>71</v>
      </c>
      <c r="G23" t="s">
        <v>1121</v>
      </c>
    </row>
    <row r="24" spans="1:7" x14ac:dyDescent="0.3">
      <c r="A24" t="s">
        <v>1310</v>
      </c>
      <c r="B24" t="s">
        <v>27</v>
      </c>
      <c r="C24" t="s">
        <v>28</v>
      </c>
      <c r="D24" t="s">
        <v>700</v>
      </c>
      <c r="E24" t="s">
        <v>1174</v>
      </c>
      <c r="F24" t="s">
        <v>37</v>
      </c>
      <c r="G24" t="s">
        <v>1121</v>
      </c>
    </row>
    <row r="25" spans="1:7" x14ac:dyDescent="0.3">
      <c r="A25" t="s">
        <v>1311</v>
      </c>
      <c r="B25" t="s">
        <v>27</v>
      </c>
      <c r="C25" t="s">
        <v>38</v>
      </c>
      <c r="D25" t="s">
        <v>1118</v>
      </c>
      <c r="E25" t="s">
        <v>39</v>
      </c>
      <c r="F25" t="s">
        <v>40</v>
      </c>
      <c r="G25" t="s">
        <v>1119</v>
      </c>
    </row>
    <row r="26" spans="1:7" x14ac:dyDescent="0.3">
      <c r="A26" t="s">
        <v>1312</v>
      </c>
      <c r="B26" t="s">
        <v>93</v>
      </c>
      <c r="C26" t="s">
        <v>57</v>
      </c>
      <c r="D26" t="s">
        <v>1118</v>
      </c>
      <c r="E26" t="s">
        <v>1175</v>
      </c>
      <c r="F26" t="s">
        <v>98</v>
      </c>
      <c r="G26" t="s">
        <v>1119</v>
      </c>
    </row>
    <row r="27" spans="1:7" x14ac:dyDescent="0.3">
      <c r="A27" t="s">
        <v>1313</v>
      </c>
      <c r="B27" t="s">
        <v>93</v>
      </c>
      <c r="C27" t="s">
        <v>57</v>
      </c>
      <c r="D27" t="s">
        <v>1121</v>
      </c>
      <c r="E27" t="s">
        <v>99</v>
      </c>
      <c r="F27" t="s">
        <v>100</v>
      </c>
      <c r="G27" t="s">
        <v>1118</v>
      </c>
    </row>
    <row r="28" spans="1:7" x14ac:dyDescent="0.3">
      <c r="A28" t="s">
        <v>1314</v>
      </c>
      <c r="B28" t="s">
        <v>93</v>
      </c>
      <c r="C28" t="s">
        <v>101</v>
      </c>
      <c r="D28" t="s">
        <v>700</v>
      </c>
      <c r="E28" t="s">
        <v>102</v>
      </c>
      <c r="F28" t="s">
        <v>103</v>
      </c>
      <c r="G28" t="s">
        <v>1118</v>
      </c>
    </row>
    <row r="29" spans="1:7" x14ac:dyDescent="0.3">
      <c r="A29" t="s">
        <v>1315</v>
      </c>
      <c r="B29" t="s">
        <v>76</v>
      </c>
      <c r="C29" t="s">
        <v>84</v>
      </c>
      <c r="D29" t="s">
        <v>1123</v>
      </c>
      <c r="E29" t="s">
        <v>85</v>
      </c>
      <c r="F29" t="s">
        <v>86</v>
      </c>
      <c r="G29" t="s">
        <v>700</v>
      </c>
    </row>
    <row r="30" spans="1:7" x14ac:dyDescent="0.3">
      <c r="A30" t="s">
        <v>1124</v>
      </c>
      <c r="B30" t="s">
        <v>111</v>
      </c>
      <c r="C30" t="s">
        <v>61</v>
      </c>
      <c r="D30" t="s">
        <v>1123</v>
      </c>
      <c r="E30" t="s">
        <v>112</v>
      </c>
      <c r="F30" t="s">
        <v>1176</v>
      </c>
      <c r="G30" t="s">
        <v>1122</v>
      </c>
    </row>
    <row r="31" spans="1:7" x14ac:dyDescent="0.3">
      <c r="A31" t="s">
        <v>1316</v>
      </c>
      <c r="B31" t="s">
        <v>113</v>
      </c>
      <c r="C31" t="s">
        <v>34</v>
      </c>
      <c r="D31" t="s">
        <v>1120</v>
      </c>
      <c r="E31" t="s">
        <v>114</v>
      </c>
      <c r="F31" t="s">
        <v>115</v>
      </c>
      <c r="G31" t="s">
        <v>1122</v>
      </c>
    </row>
    <row r="32" spans="1:7" x14ac:dyDescent="0.3">
      <c r="A32" t="s">
        <v>1317</v>
      </c>
      <c r="B32" t="s">
        <v>116</v>
      </c>
      <c r="C32" t="s">
        <v>52</v>
      </c>
      <c r="D32" t="s">
        <v>1118</v>
      </c>
      <c r="E32" t="s">
        <v>1177</v>
      </c>
      <c r="F32" t="s">
        <v>118</v>
      </c>
      <c r="G32" t="s">
        <v>1120</v>
      </c>
    </row>
    <row r="33" spans="1:7" x14ac:dyDescent="0.3">
      <c r="A33" t="s">
        <v>1298</v>
      </c>
      <c r="B33" t="s">
        <v>93</v>
      </c>
      <c r="C33" t="s">
        <v>101</v>
      </c>
      <c r="D33" t="s">
        <v>1123</v>
      </c>
      <c r="E33" t="s">
        <v>104</v>
      </c>
      <c r="F33" t="s">
        <v>105</v>
      </c>
      <c r="G33" t="s">
        <v>1118</v>
      </c>
    </row>
    <row r="34" spans="1:7" x14ac:dyDescent="0.3">
      <c r="A34" t="s">
        <v>1318</v>
      </c>
      <c r="B34" t="s">
        <v>93</v>
      </c>
      <c r="C34" t="s">
        <v>57</v>
      </c>
      <c r="D34" t="s">
        <v>1118</v>
      </c>
      <c r="E34" t="s">
        <v>106</v>
      </c>
      <c r="F34" t="s">
        <v>107</v>
      </c>
      <c r="G34" t="s">
        <v>1122</v>
      </c>
    </row>
    <row r="35" spans="1:7" x14ac:dyDescent="0.3">
      <c r="A35" t="s">
        <v>1319</v>
      </c>
      <c r="B35" t="s">
        <v>76</v>
      </c>
      <c r="C35" t="s">
        <v>77</v>
      </c>
      <c r="D35" t="s">
        <v>1120</v>
      </c>
      <c r="E35" t="s">
        <v>87</v>
      </c>
      <c r="F35" t="s">
        <v>88</v>
      </c>
      <c r="G35" t="s">
        <v>1119</v>
      </c>
    </row>
    <row r="36" spans="1:7" x14ac:dyDescent="0.3">
      <c r="A36" t="s">
        <v>1320</v>
      </c>
      <c r="B36" t="s">
        <v>27</v>
      </c>
      <c r="C36" t="s">
        <v>28</v>
      </c>
      <c r="D36" t="s">
        <v>1121</v>
      </c>
      <c r="E36" t="s">
        <v>119</v>
      </c>
      <c r="F36" t="s">
        <v>120</v>
      </c>
      <c r="G36" t="s">
        <v>1119</v>
      </c>
    </row>
    <row r="37" spans="1:7" x14ac:dyDescent="0.3">
      <c r="A37" t="s">
        <v>1321</v>
      </c>
      <c r="B37" t="s">
        <v>60</v>
      </c>
      <c r="C37" t="s">
        <v>61</v>
      </c>
      <c r="D37" t="s">
        <v>1123</v>
      </c>
      <c r="E37" t="s">
        <v>66</v>
      </c>
      <c r="F37" t="s">
        <v>121</v>
      </c>
      <c r="G37" t="s">
        <v>1122</v>
      </c>
    </row>
    <row r="38" spans="1:7" x14ac:dyDescent="0.3">
      <c r="A38" t="s">
        <v>1322</v>
      </c>
      <c r="B38" t="s">
        <v>27</v>
      </c>
      <c r="C38" t="s">
        <v>31</v>
      </c>
      <c r="D38" t="s">
        <v>700</v>
      </c>
      <c r="E38" t="s">
        <v>122</v>
      </c>
      <c r="F38" t="s">
        <v>1178</v>
      </c>
      <c r="G38" t="s">
        <v>1122</v>
      </c>
    </row>
    <row r="39" spans="1:7" x14ac:dyDescent="0.3">
      <c r="A39" t="s">
        <v>1323</v>
      </c>
      <c r="B39" t="s">
        <v>41</v>
      </c>
      <c r="C39" t="s">
        <v>73</v>
      </c>
      <c r="D39" t="s">
        <v>1123</v>
      </c>
      <c r="E39" t="s">
        <v>123</v>
      </c>
      <c r="F39" t="s">
        <v>124</v>
      </c>
      <c r="G39" t="s">
        <v>1122</v>
      </c>
    </row>
    <row r="40" spans="1:7" x14ac:dyDescent="0.3">
      <c r="A40" t="s">
        <v>1324</v>
      </c>
      <c r="B40" t="s">
        <v>27</v>
      </c>
      <c r="C40" t="s">
        <v>34</v>
      </c>
      <c r="D40" t="s">
        <v>1123</v>
      </c>
      <c r="E40" t="s">
        <v>1179</v>
      </c>
      <c r="F40" t="s">
        <v>125</v>
      </c>
      <c r="G40" t="s">
        <v>1122</v>
      </c>
    </row>
    <row r="41" spans="1:7" x14ac:dyDescent="0.3">
      <c r="A41" t="s">
        <v>1325</v>
      </c>
      <c r="B41" t="s">
        <v>60</v>
      </c>
      <c r="C41" t="s">
        <v>69</v>
      </c>
      <c r="D41" t="s">
        <v>1121</v>
      </c>
      <c r="E41" t="s">
        <v>1180</v>
      </c>
      <c r="F41" t="s">
        <v>126</v>
      </c>
      <c r="G41" t="s">
        <v>1121</v>
      </c>
    </row>
    <row r="42" spans="1:7" x14ac:dyDescent="0.3">
      <c r="A42" t="s">
        <v>1326</v>
      </c>
      <c r="B42" t="s">
        <v>27</v>
      </c>
      <c r="C42" t="s">
        <v>28</v>
      </c>
      <c r="D42" t="s">
        <v>1120</v>
      </c>
      <c r="E42" t="s">
        <v>1181</v>
      </c>
      <c r="F42" t="s">
        <v>127</v>
      </c>
      <c r="G42" t="s">
        <v>1119</v>
      </c>
    </row>
    <row r="43" spans="1:7" x14ac:dyDescent="0.3">
      <c r="A43" t="s">
        <v>1327</v>
      </c>
      <c r="B43" t="s">
        <v>49</v>
      </c>
      <c r="C43" t="s">
        <v>52</v>
      </c>
      <c r="D43" t="s">
        <v>1121</v>
      </c>
      <c r="E43" t="s">
        <v>128</v>
      </c>
      <c r="F43" t="s">
        <v>129</v>
      </c>
      <c r="G43" t="s">
        <v>853</v>
      </c>
    </row>
    <row r="44" spans="1:7" x14ac:dyDescent="0.3">
      <c r="A44" t="s">
        <v>1328</v>
      </c>
      <c r="B44" t="s">
        <v>76</v>
      </c>
      <c r="C44" t="s">
        <v>77</v>
      </c>
      <c r="D44" t="s">
        <v>1118</v>
      </c>
      <c r="E44" t="s">
        <v>130</v>
      </c>
      <c r="F44" t="s">
        <v>98</v>
      </c>
      <c r="G44" t="s">
        <v>66</v>
      </c>
    </row>
    <row r="45" spans="1:7" x14ac:dyDescent="0.3">
      <c r="A45" t="s">
        <v>1329</v>
      </c>
      <c r="B45" t="s">
        <v>89</v>
      </c>
      <c r="C45" t="s">
        <v>131</v>
      </c>
      <c r="D45" t="s">
        <v>1121</v>
      </c>
      <c r="E45" t="s">
        <v>51</v>
      </c>
      <c r="F45" t="s">
        <v>100</v>
      </c>
      <c r="G45" t="s">
        <v>1122</v>
      </c>
    </row>
    <row r="46" spans="1:7" x14ac:dyDescent="0.3">
      <c r="A46" t="s">
        <v>1330</v>
      </c>
      <c r="B46" t="s">
        <v>41</v>
      </c>
      <c r="C46" t="s">
        <v>73</v>
      </c>
      <c r="D46" t="s">
        <v>1123</v>
      </c>
      <c r="E46" t="s">
        <v>132</v>
      </c>
      <c r="F46" t="s">
        <v>133</v>
      </c>
      <c r="G46" t="s">
        <v>1118</v>
      </c>
    </row>
    <row r="47" spans="1:7" x14ac:dyDescent="0.3">
      <c r="A47" t="s">
        <v>1291</v>
      </c>
      <c r="B47" t="s">
        <v>49</v>
      </c>
      <c r="C47" t="s">
        <v>50</v>
      </c>
      <c r="D47" t="s">
        <v>700</v>
      </c>
      <c r="E47" t="s">
        <v>134</v>
      </c>
      <c r="F47" t="s">
        <v>135</v>
      </c>
      <c r="G47" t="s">
        <v>1118</v>
      </c>
    </row>
    <row r="48" spans="1:7" x14ac:dyDescent="0.3">
      <c r="A48" t="s">
        <v>1331</v>
      </c>
      <c r="B48" t="s">
        <v>136</v>
      </c>
      <c r="C48" t="s">
        <v>84</v>
      </c>
      <c r="D48" t="s">
        <v>1121</v>
      </c>
      <c r="E48" t="s">
        <v>137</v>
      </c>
      <c r="F48" t="s">
        <v>138</v>
      </c>
      <c r="G48" t="s">
        <v>1122</v>
      </c>
    </row>
    <row r="49" spans="1:7" x14ac:dyDescent="0.3">
      <c r="A49" t="s">
        <v>1332</v>
      </c>
      <c r="B49" t="s">
        <v>108</v>
      </c>
      <c r="C49" t="s">
        <v>109</v>
      </c>
      <c r="D49" t="s">
        <v>1120</v>
      </c>
      <c r="E49" t="s">
        <v>139</v>
      </c>
      <c r="F49" t="s">
        <v>140</v>
      </c>
      <c r="G49" t="s">
        <v>1121</v>
      </c>
    </row>
    <row r="50" spans="1:7" x14ac:dyDescent="0.3">
      <c r="A50" t="s">
        <v>1333</v>
      </c>
      <c r="B50" t="s">
        <v>93</v>
      </c>
      <c r="C50" t="s">
        <v>57</v>
      </c>
      <c r="D50" t="s">
        <v>700</v>
      </c>
      <c r="E50" t="s">
        <v>141</v>
      </c>
      <c r="F50" t="s">
        <v>142</v>
      </c>
      <c r="G50" t="s">
        <v>1122</v>
      </c>
    </row>
    <row r="51" spans="1:7" x14ac:dyDescent="0.3">
      <c r="A51" t="s">
        <v>1334</v>
      </c>
      <c r="B51" t="s">
        <v>89</v>
      </c>
      <c r="C51" t="s">
        <v>131</v>
      </c>
      <c r="D51" t="s">
        <v>700</v>
      </c>
      <c r="E51" t="s">
        <v>143</v>
      </c>
      <c r="F51" t="s">
        <v>144</v>
      </c>
      <c r="G51" t="s">
        <v>1118</v>
      </c>
    </row>
    <row r="52" spans="1:7" x14ac:dyDescent="0.3">
      <c r="A52" t="s">
        <v>1335</v>
      </c>
      <c r="B52" t="s">
        <v>89</v>
      </c>
      <c r="C52" t="s">
        <v>90</v>
      </c>
      <c r="D52" t="s">
        <v>1118</v>
      </c>
      <c r="E52" t="s">
        <v>145</v>
      </c>
      <c r="F52" t="s">
        <v>146</v>
      </c>
      <c r="G52" t="s">
        <v>1119</v>
      </c>
    </row>
    <row r="53" spans="1:7" x14ac:dyDescent="0.3">
      <c r="A53" t="s">
        <v>1336</v>
      </c>
      <c r="B53" t="s">
        <v>60</v>
      </c>
      <c r="C53" t="s">
        <v>61</v>
      </c>
      <c r="D53" t="s">
        <v>1123</v>
      </c>
      <c r="E53" t="s">
        <v>54</v>
      </c>
      <c r="F53" t="s">
        <v>147</v>
      </c>
      <c r="G53" t="s">
        <v>1122</v>
      </c>
    </row>
    <row r="54" spans="1:7" x14ac:dyDescent="0.3">
      <c r="A54" t="s">
        <v>1337</v>
      </c>
      <c r="B54" t="s">
        <v>93</v>
      </c>
      <c r="C54" t="s">
        <v>57</v>
      </c>
      <c r="D54" t="s">
        <v>1121</v>
      </c>
      <c r="E54" t="s">
        <v>148</v>
      </c>
      <c r="F54" t="s">
        <v>149</v>
      </c>
      <c r="G54" t="s">
        <v>1122</v>
      </c>
    </row>
    <row r="55" spans="1:7" x14ac:dyDescent="0.3">
      <c r="A55" t="s">
        <v>1338</v>
      </c>
      <c r="B55" t="s">
        <v>56</v>
      </c>
      <c r="C55" t="s">
        <v>57</v>
      </c>
      <c r="D55" t="s">
        <v>1120</v>
      </c>
      <c r="E55" t="s">
        <v>150</v>
      </c>
      <c r="F55" t="s">
        <v>1182</v>
      </c>
      <c r="G55" t="s">
        <v>700</v>
      </c>
    </row>
    <row r="56" spans="1:7" x14ac:dyDescent="0.3">
      <c r="A56" t="s">
        <v>1339</v>
      </c>
      <c r="B56" t="s">
        <v>60</v>
      </c>
      <c r="C56" t="s">
        <v>69</v>
      </c>
      <c r="D56" t="s">
        <v>700</v>
      </c>
      <c r="E56" t="s">
        <v>151</v>
      </c>
      <c r="F56" t="s">
        <v>152</v>
      </c>
      <c r="G56" t="s">
        <v>1122</v>
      </c>
    </row>
    <row r="57" spans="1:7" x14ac:dyDescent="0.3">
      <c r="A57" t="s">
        <v>1340</v>
      </c>
      <c r="B57" t="s">
        <v>49</v>
      </c>
      <c r="C57" t="s">
        <v>52</v>
      </c>
      <c r="D57" t="s">
        <v>1120</v>
      </c>
      <c r="E57" t="s">
        <v>153</v>
      </c>
      <c r="F57" t="s">
        <v>154</v>
      </c>
      <c r="G57" t="s">
        <v>117</v>
      </c>
    </row>
    <row r="58" spans="1:7" x14ac:dyDescent="0.3">
      <c r="A58" t="s">
        <v>1125</v>
      </c>
      <c r="B58" t="s">
        <v>93</v>
      </c>
      <c r="C58" t="s">
        <v>101</v>
      </c>
      <c r="D58" t="s">
        <v>1121</v>
      </c>
      <c r="E58" t="s">
        <v>1183</v>
      </c>
      <c r="F58" t="s">
        <v>155</v>
      </c>
      <c r="G58" t="s">
        <v>1121</v>
      </c>
    </row>
    <row r="59" spans="1:7" x14ac:dyDescent="0.3">
      <c r="A59" t="s">
        <v>1341</v>
      </c>
      <c r="B59" t="s">
        <v>108</v>
      </c>
      <c r="C59" t="s">
        <v>109</v>
      </c>
      <c r="D59" t="s">
        <v>1123</v>
      </c>
      <c r="E59" t="s">
        <v>44</v>
      </c>
      <c r="F59" t="s">
        <v>156</v>
      </c>
      <c r="G59" t="s">
        <v>1119</v>
      </c>
    </row>
    <row r="60" spans="1:7" x14ac:dyDescent="0.3">
      <c r="A60" t="s">
        <v>1342</v>
      </c>
      <c r="B60" t="s">
        <v>136</v>
      </c>
      <c r="C60" t="s">
        <v>84</v>
      </c>
      <c r="D60" t="s">
        <v>700</v>
      </c>
      <c r="E60" t="s">
        <v>157</v>
      </c>
      <c r="F60" t="s">
        <v>158</v>
      </c>
      <c r="G60" t="s">
        <v>1120</v>
      </c>
    </row>
    <row r="61" spans="1:7" x14ac:dyDescent="0.3">
      <c r="A61" t="s">
        <v>1343</v>
      </c>
      <c r="B61" t="s">
        <v>49</v>
      </c>
      <c r="C61" t="s">
        <v>50</v>
      </c>
      <c r="D61" t="s">
        <v>1123</v>
      </c>
      <c r="E61" t="s">
        <v>159</v>
      </c>
      <c r="F61" t="s">
        <v>160</v>
      </c>
      <c r="G61" t="s">
        <v>1118</v>
      </c>
    </row>
    <row r="62" spans="1:7" x14ac:dyDescent="0.3">
      <c r="A62" t="s">
        <v>1344</v>
      </c>
      <c r="B62" t="s">
        <v>41</v>
      </c>
      <c r="C62" t="s">
        <v>73</v>
      </c>
      <c r="D62" t="s">
        <v>1121</v>
      </c>
      <c r="E62" t="s">
        <v>161</v>
      </c>
      <c r="F62" t="s">
        <v>162</v>
      </c>
      <c r="G62" t="s">
        <v>1122</v>
      </c>
    </row>
    <row r="63" spans="1:7" x14ac:dyDescent="0.3">
      <c r="A63" t="s">
        <v>1345</v>
      </c>
      <c r="B63" t="s">
        <v>41</v>
      </c>
      <c r="C63" t="s">
        <v>42</v>
      </c>
      <c r="D63" t="s">
        <v>700</v>
      </c>
      <c r="E63" t="s">
        <v>163</v>
      </c>
      <c r="F63" t="s">
        <v>164</v>
      </c>
      <c r="G63" t="s">
        <v>1119</v>
      </c>
    </row>
    <row r="64" spans="1:7" x14ac:dyDescent="0.3">
      <c r="A64" t="s">
        <v>1346</v>
      </c>
      <c r="B64" t="s">
        <v>89</v>
      </c>
      <c r="C64" t="s">
        <v>131</v>
      </c>
      <c r="D64" t="s">
        <v>1123</v>
      </c>
      <c r="E64" t="s">
        <v>165</v>
      </c>
      <c r="F64" t="s">
        <v>166</v>
      </c>
      <c r="G64" t="s">
        <v>1120</v>
      </c>
    </row>
    <row r="65" spans="1:7" x14ac:dyDescent="0.3">
      <c r="A65" t="s">
        <v>1347</v>
      </c>
      <c r="B65" t="s">
        <v>27</v>
      </c>
      <c r="C65" t="s">
        <v>28</v>
      </c>
      <c r="D65" t="s">
        <v>1118</v>
      </c>
      <c r="E65" t="s">
        <v>1184</v>
      </c>
      <c r="F65" t="s">
        <v>167</v>
      </c>
      <c r="G65" t="s">
        <v>1122</v>
      </c>
    </row>
    <row r="66" spans="1:7" x14ac:dyDescent="0.3">
      <c r="A66" t="s">
        <v>1348</v>
      </c>
      <c r="B66" t="s">
        <v>168</v>
      </c>
      <c r="C66" t="s">
        <v>169</v>
      </c>
      <c r="D66" t="s">
        <v>1121</v>
      </c>
      <c r="E66" t="s">
        <v>141</v>
      </c>
      <c r="F66" t="s">
        <v>170</v>
      </c>
      <c r="G66" t="s">
        <v>1119</v>
      </c>
    </row>
    <row r="67" spans="1:7" x14ac:dyDescent="0.3">
      <c r="A67" t="s">
        <v>1308</v>
      </c>
      <c r="B67" t="s">
        <v>27</v>
      </c>
      <c r="C67" t="s">
        <v>38</v>
      </c>
      <c r="D67" t="s">
        <v>1121</v>
      </c>
      <c r="E67" t="s">
        <v>137</v>
      </c>
      <c r="F67" t="s">
        <v>171</v>
      </c>
      <c r="G67" t="s">
        <v>1119</v>
      </c>
    </row>
    <row r="68" spans="1:7" x14ac:dyDescent="0.3">
      <c r="A68" t="s">
        <v>1349</v>
      </c>
      <c r="B68" t="s">
        <v>41</v>
      </c>
      <c r="C68" t="s">
        <v>46</v>
      </c>
      <c r="D68" t="s">
        <v>1121</v>
      </c>
      <c r="E68" t="s">
        <v>172</v>
      </c>
      <c r="F68" t="s">
        <v>173</v>
      </c>
      <c r="G68" t="s">
        <v>1119</v>
      </c>
    </row>
    <row r="69" spans="1:7" x14ac:dyDescent="0.3">
      <c r="A69" t="s">
        <v>1350</v>
      </c>
      <c r="B69" t="s">
        <v>76</v>
      </c>
      <c r="C69" t="s">
        <v>80</v>
      </c>
      <c r="D69" t="s">
        <v>1118</v>
      </c>
      <c r="E69" t="s">
        <v>174</v>
      </c>
      <c r="F69" t="s">
        <v>175</v>
      </c>
      <c r="G69" t="s">
        <v>1119</v>
      </c>
    </row>
    <row r="70" spans="1:7" x14ac:dyDescent="0.3">
      <c r="A70" t="s">
        <v>1351</v>
      </c>
      <c r="B70" t="s">
        <v>89</v>
      </c>
      <c r="C70" t="s">
        <v>90</v>
      </c>
      <c r="D70" t="s">
        <v>700</v>
      </c>
      <c r="E70" t="s">
        <v>176</v>
      </c>
      <c r="F70" t="s">
        <v>177</v>
      </c>
      <c r="G70" t="s">
        <v>1122</v>
      </c>
    </row>
    <row r="71" spans="1:7" x14ac:dyDescent="0.3">
      <c r="A71" t="s">
        <v>1352</v>
      </c>
      <c r="B71" t="s">
        <v>93</v>
      </c>
      <c r="C71" t="s">
        <v>101</v>
      </c>
      <c r="D71" t="s">
        <v>1123</v>
      </c>
      <c r="E71" t="s">
        <v>150</v>
      </c>
      <c r="F71" t="s">
        <v>178</v>
      </c>
      <c r="G71" t="s">
        <v>1121</v>
      </c>
    </row>
    <row r="72" spans="1:7" x14ac:dyDescent="0.3">
      <c r="A72" t="s">
        <v>1353</v>
      </c>
      <c r="B72" t="s">
        <v>60</v>
      </c>
      <c r="C72" t="s">
        <v>64</v>
      </c>
      <c r="D72" t="s">
        <v>1121</v>
      </c>
      <c r="E72" t="s">
        <v>179</v>
      </c>
      <c r="F72" t="s">
        <v>180</v>
      </c>
      <c r="G72" t="s">
        <v>1121</v>
      </c>
    </row>
    <row r="73" spans="1:7" x14ac:dyDescent="0.3">
      <c r="A73" t="s">
        <v>1336</v>
      </c>
      <c r="B73" t="s">
        <v>76</v>
      </c>
      <c r="C73" t="s">
        <v>77</v>
      </c>
      <c r="D73" t="s">
        <v>1118</v>
      </c>
      <c r="E73" t="s">
        <v>181</v>
      </c>
      <c r="F73" t="s">
        <v>182</v>
      </c>
      <c r="G73" t="s">
        <v>1119</v>
      </c>
    </row>
    <row r="74" spans="1:7" x14ac:dyDescent="0.3">
      <c r="A74" t="s">
        <v>1354</v>
      </c>
      <c r="B74" t="s">
        <v>89</v>
      </c>
      <c r="C74" t="s">
        <v>90</v>
      </c>
      <c r="D74" t="s">
        <v>1120</v>
      </c>
      <c r="E74" t="s">
        <v>183</v>
      </c>
      <c r="F74" t="s">
        <v>184</v>
      </c>
      <c r="G74" t="s">
        <v>1118</v>
      </c>
    </row>
    <row r="75" spans="1:7" x14ac:dyDescent="0.3">
      <c r="A75" t="s">
        <v>1304</v>
      </c>
      <c r="B75" t="s">
        <v>60</v>
      </c>
      <c r="C75" t="s">
        <v>61</v>
      </c>
      <c r="D75" t="s">
        <v>1123</v>
      </c>
      <c r="E75" t="s">
        <v>65</v>
      </c>
      <c r="F75" t="s">
        <v>185</v>
      </c>
      <c r="G75" t="s">
        <v>1119</v>
      </c>
    </row>
    <row r="76" spans="1:7" x14ac:dyDescent="0.3">
      <c r="A76" t="s">
        <v>1355</v>
      </c>
      <c r="B76" t="s">
        <v>89</v>
      </c>
      <c r="C76" t="s">
        <v>90</v>
      </c>
      <c r="D76" t="s">
        <v>1118</v>
      </c>
      <c r="E76" t="s">
        <v>186</v>
      </c>
      <c r="F76" t="s">
        <v>187</v>
      </c>
      <c r="G76" t="s">
        <v>1122</v>
      </c>
    </row>
    <row r="77" spans="1:7" x14ac:dyDescent="0.3">
      <c r="A77" t="s">
        <v>1126</v>
      </c>
      <c r="B77" t="s">
        <v>41</v>
      </c>
      <c r="C77" t="s">
        <v>73</v>
      </c>
      <c r="D77" t="s">
        <v>700</v>
      </c>
      <c r="E77" t="s">
        <v>188</v>
      </c>
      <c r="F77" t="s">
        <v>1185</v>
      </c>
      <c r="G77" t="s">
        <v>1119</v>
      </c>
    </row>
    <row r="78" spans="1:7" x14ac:dyDescent="0.3">
      <c r="A78" t="s">
        <v>1127</v>
      </c>
      <c r="B78" t="s">
        <v>189</v>
      </c>
      <c r="C78" t="s">
        <v>52</v>
      </c>
      <c r="D78" t="s">
        <v>1121</v>
      </c>
      <c r="E78" t="s">
        <v>174</v>
      </c>
      <c r="F78" t="s">
        <v>190</v>
      </c>
      <c r="G78" t="s">
        <v>1118</v>
      </c>
    </row>
    <row r="79" spans="1:7" x14ac:dyDescent="0.3">
      <c r="A79" t="s">
        <v>1356</v>
      </c>
      <c r="B79" t="s">
        <v>108</v>
      </c>
      <c r="C79" t="s">
        <v>169</v>
      </c>
      <c r="D79" t="s">
        <v>1120</v>
      </c>
      <c r="E79" t="s">
        <v>191</v>
      </c>
      <c r="F79" t="s">
        <v>192</v>
      </c>
      <c r="G79" t="s">
        <v>1118</v>
      </c>
    </row>
    <row r="80" spans="1:7" x14ac:dyDescent="0.3">
      <c r="A80" t="s">
        <v>1357</v>
      </c>
      <c r="B80" t="s">
        <v>49</v>
      </c>
      <c r="C80" t="s">
        <v>52</v>
      </c>
      <c r="D80" t="s">
        <v>1121</v>
      </c>
      <c r="E80" t="s">
        <v>193</v>
      </c>
      <c r="F80" t="s">
        <v>190</v>
      </c>
      <c r="G80" t="s">
        <v>1120</v>
      </c>
    </row>
    <row r="81" spans="1:7" x14ac:dyDescent="0.3">
      <c r="A81" t="s">
        <v>1358</v>
      </c>
      <c r="B81" t="s">
        <v>49</v>
      </c>
      <c r="C81" t="s">
        <v>52</v>
      </c>
      <c r="D81" t="s">
        <v>1118</v>
      </c>
      <c r="E81" t="s">
        <v>194</v>
      </c>
      <c r="F81" t="s">
        <v>195</v>
      </c>
      <c r="G81" t="s">
        <v>1121</v>
      </c>
    </row>
    <row r="82" spans="1:7" x14ac:dyDescent="0.3">
      <c r="A82" t="s">
        <v>1359</v>
      </c>
      <c r="B82" t="s">
        <v>60</v>
      </c>
      <c r="C82" t="s">
        <v>61</v>
      </c>
      <c r="D82" t="s">
        <v>1120</v>
      </c>
      <c r="E82" t="s">
        <v>196</v>
      </c>
      <c r="F82" t="s">
        <v>197</v>
      </c>
      <c r="G82" t="s">
        <v>1122</v>
      </c>
    </row>
    <row r="83" spans="1:7" x14ac:dyDescent="0.3">
      <c r="A83" t="s">
        <v>1360</v>
      </c>
      <c r="B83" t="s">
        <v>108</v>
      </c>
      <c r="C83" t="s">
        <v>109</v>
      </c>
      <c r="D83" t="s">
        <v>700</v>
      </c>
      <c r="E83" t="s">
        <v>198</v>
      </c>
      <c r="F83" t="s">
        <v>199</v>
      </c>
      <c r="G83" t="s">
        <v>1122</v>
      </c>
    </row>
    <row r="84" spans="1:7" x14ac:dyDescent="0.3">
      <c r="A84" t="s">
        <v>1361</v>
      </c>
      <c r="B84" t="s">
        <v>108</v>
      </c>
      <c r="C84" t="s">
        <v>109</v>
      </c>
      <c r="D84" t="s">
        <v>1121</v>
      </c>
      <c r="E84" t="s">
        <v>104</v>
      </c>
      <c r="F84" t="s">
        <v>200</v>
      </c>
      <c r="G84" t="s">
        <v>1122</v>
      </c>
    </row>
    <row r="85" spans="1:7" x14ac:dyDescent="0.3">
      <c r="A85" t="s">
        <v>1362</v>
      </c>
      <c r="B85" t="s">
        <v>201</v>
      </c>
      <c r="C85" t="s">
        <v>109</v>
      </c>
      <c r="D85" t="s">
        <v>1121</v>
      </c>
      <c r="E85" t="s">
        <v>1186</v>
      </c>
      <c r="F85" t="s">
        <v>202</v>
      </c>
      <c r="G85" t="s">
        <v>1122</v>
      </c>
    </row>
    <row r="86" spans="1:7" x14ac:dyDescent="0.3">
      <c r="A86" t="s">
        <v>1363</v>
      </c>
      <c r="B86" t="s">
        <v>76</v>
      </c>
      <c r="C86" t="s">
        <v>84</v>
      </c>
      <c r="D86" t="s">
        <v>1120</v>
      </c>
      <c r="E86" t="s">
        <v>203</v>
      </c>
      <c r="F86" t="s">
        <v>204</v>
      </c>
      <c r="G86" t="s">
        <v>1118</v>
      </c>
    </row>
    <row r="87" spans="1:7" x14ac:dyDescent="0.3">
      <c r="A87" t="s">
        <v>1364</v>
      </c>
      <c r="B87" t="s">
        <v>89</v>
      </c>
      <c r="C87" t="s">
        <v>90</v>
      </c>
      <c r="D87" t="s">
        <v>1120</v>
      </c>
      <c r="E87" t="s">
        <v>205</v>
      </c>
      <c r="F87" t="s">
        <v>206</v>
      </c>
      <c r="G87" t="s">
        <v>1121</v>
      </c>
    </row>
    <row r="88" spans="1:7" x14ac:dyDescent="0.3">
      <c r="A88" t="s">
        <v>1365</v>
      </c>
      <c r="B88" t="s">
        <v>60</v>
      </c>
      <c r="C88" t="s">
        <v>64</v>
      </c>
      <c r="D88" t="s">
        <v>1121</v>
      </c>
      <c r="E88" t="s">
        <v>207</v>
      </c>
      <c r="F88" t="s">
        <v>173</v>
      </c>
      <c r="G88" t="s">
        <v>1118</v>
      </c>
    </row>
    <row r="89" spans="1:7" x14ac:dyDescent="0.3">
      <c r="A89" t="s">
        <v>1366</v>
      </c>
      <c r="B89" t="s">
        <v>108</v>
      </c>
      <c r="C89" t="s">
        <v>208</v>
      </c>
      <c r="D89" t="s">
        <v>1123</v>
      </c>
      <c r="E89" t="s">
        <v>209</v>
      </c>
      <c r="F89" t="s">
        <v>210</v>
      </c>
      <c r="G89" t="s">
        <v>1119</v>
      </c>
    </row>
    <row r="90" spans="1:7" x14ac:dyDescent="0.3">
      <c r="A90" t="s">
        <v>1367</v>
      </c>
      <c r="B90" t="s">
        <v>93</v>
      </c>
      <c r="C90" t="s">
        <v>101</v>
      </c>
      <c r="D90" t="s">
        <v>1123</v>
      </c>
      <c r="E90" t="s">
        <v>211</v>
      </c>
      <c r="F90" t="s">
        <v>1187</v>
      </c>
      <c r="G90" t="s">
        <v>1119</v>
      </c>
    </row>
    <row r="91" spans="1:7" x14ac:dyDescent="0.3">
      <c r="A91" t="s">
        <v>1368</v>
      </c>
      <c r="B91" t="s">
        <v>49</v>
      </c>
      <c r="C91" t="s">
        <v>52</v>
      </c>
      <c r="D91" t="s">
        <v>700</v>
      </c>
      <c r="E91" t="s">
        <v>212</v>
      </c>
      <c r="F91" t="s">
        <v>213</v>
      </c>
      <c r="G91" t="s">
        <v>1120</v>
      </c>
    </row>
    <row r="92" spans="1:7" x14ac:dyDescent="0.3">
      <c r="A92" t="s">
        <v>1369</v>
      </c>
      <c r="B92" t="s">
        <v>49</v>
      </c>
      <c r="C92" t="s">
        <v>52</v>
      </c>
      <c r="D92" t="s">
        <v>1123</v>
      </c>
      <c r="E92" t="s">
        <v>66</v>
      </c>
      <c r="F92" t="s">
        <v>214</v>
      </c>
      <c r="G92" t="s">
        <v>1119</v>
      </c>
    </row>
    <row r="93" spans="1:7" x14ac:dyDescent="0.3">
      <c r="A93" t="s">
        <v>1370</v>
      </c>
      <c r="B93" t="s">
        <v>41</v>
      </c>
      <c r="C93" t="s">
        <v>73</v>
      </c>
      <c r="D93" t="s">
        <v>1120</v>
      </c>
      <c r="E93" t="s">
        <v>215</v>
      </c>
      <c r="F93" t="s">
        <v>216</v>
      </c>
      <c r="G93" t="s">
        <v>1119</v>
      </c>
    </row>
    <row r="94" spans="1:7" x14ac:dyDescent="0.3">
      <c r="A94" t="s">
        <v>1368</v>
      </c>
      <c r="B94" t="s">
        <v>76</v>
      </c>
      <c r="C94" t="s">
        <v>80</v>
      </c>
      <c r="D94" t="s">
        <v>1121</v>
      </c>
      <c r="E94" t="s">
        <v>1188</v>
      </c>
      <c r="F94" t="s">
        <v>217</v>
      </c>
      <c r="G94" t="s">
        <v>1121</v>
      </c>
    </row>
    <row r="95" spans="1:7" x14ac:dyDescent="0.3">
      <c r="A95" t="s">
        <v>1371</v>
      </c>
      <c r="B95" t="s">
        <v>41</v>
      </c>
      <c r="C95" t="s">
        <v>42</v>
      </c>
      <c r="D95" t="s">
        <v>1118</v>
      </c>
      <c r="E95" t="s">
        <v>218</v>
      </c>
      <c r="F95" t="s">
        <v>219</v>
      </c>
      <c r="G95" t="s">
        <v>1121</v>
      </c>
    </row>
    <row r="96" spans="1:7" x14ac:dyDescent="0.3">
      <c r="A96" t="s">
        <v>1372</v>
      </c>
      <c r="B96" t="s">
        <v>60</v>
      </c>
      <c r="C96" t="s">
        <v>61</v>
      </c>
      <c r="D96" t="s">
        <v>1123</v>
      </c>
      <c r="E96" t="s">
        <v>220</v>
      </c>
      <c r="F96" t="s">
        <v>221</v>
      </c>
      <c r="G96" t="s">
        <v>1120</v>
      </c>
    </row>
    <row r="97" spans="1:7" x14ac:dyDescent="0.3">
      <c r="A97" t="s">
        <v>1373</v>
      </c>
      <c r="B97" t="s">
        <v>41</v>
      </c>
      <c r="C97" t="s">
        <v>73</v>
      </c>
      <c r="D97" t="s">
        <v>1123</v>
      </c>
      <c r="E97" t="s">
        <v>222</v>
      </c>
      <c r="F97" t="s">
        <v>1189</v>
      </c>
      <c r="G97" t="s">
        <v>1118</v>
      </c>
    </row>
    <row r="98" spans="1:7" x14ac:dyDescent="0.3">
      <c r="A98" t="s">
        <v>1374</v>
      </c>
      <c r="B98" t="s">
        <v>93</v>
      </c>
      <c r="C98" t="s">
        <v>57</v>
      </c>
      <c r="D98" t="s">
        <v>1118</v>
      </c>
      <c r="E98" t="s">
        <v>1177</v>
      </c>
      <c r="F98" t="s">
        <v>223</v>
      </c>
      <c r="G98" t="s">
        <v>1119</v>
      </c>
    </row>
    <row r="99" spans="1:7" x14ac:dyDescent="0.3">
      <c r="A99" t="s">
        <v>1375</v>
      </c>
      <c r="B99" t="s">
        <v>76</v>
      </c>
      <c r="C99" t="s">
        <v>84</v>
      </c>
      <c r="D99" t="s">
        <v>1118</v>
      </c>
      <c r="E99" t="s">
        <v>224</v>
      </c>
      <c r="F99" t="s">
        <v>225</v>
      </c>
      <c r="G99" t="s">
        <v>1122</v>
      </c>
    </row>
    <row r="100" spans="1:7" x14ac:dyDescent="0.3">
      <c r="A100" t="s">
        <v>1376</v>
      </c>
      <c r="B100" t="s">
        <v>49</v>
      </c>
      <c r="C100" t="s">
        <v>52</v>
      </c>
      <c r="D100" t="s">
        <v>1123</v>
      </c>
      <c r="E100" t="s">
        <v>211</v>
      </c>
      <c r="F100" t="s">
        <v>1190</v>
      </c>
      <c r="G100" t="s">
        <v>1122</v>
      </c>
    </row>
    <row r="101" spans="1:7" x14ac:dyDescent="0.3">
      <c r="A101" t="s">
        <v>1377</v>
      </c>
      <c r="B101" t="s">
        <v>27</v>
      </c>
      <c r="C101" t="s">
        <v>34</v>
      </c>
      <c r="D101" t="s">
        <v>1121</v>
      </c>
      <c r="E101" t="s">
        <v>226</v>
      </c>
      <c r="F101" t="s">
        <v>227</v>
      </c>
      <c r="G101" t="s">
        <v>1119</v>
      </c>
    </row>
    <row r="102" spans="1:7" x14ac:dyDescent="0.3">
      <c r="A102" t="s">
        <v>1378</v>
      </c>
      <c r="B102" t="s">
        <v>228</v>
      </c>
      <c r="C102" t="s">
        <v>61</v>
      </c>
      <c r="D102" t="s">
        <v>1120</v>
      </c>
      <c r="E102" t="s">
        <v>229</v>
      </c>
      <c r="F102" t="s">
        <v>230</v>
      </c>
      <c r="G102" t="s">
        <v>1123</v>
      </c>
    </row>
    <row r="103" spans="1:7" x14ac:dyDescent="0.3">
      <c r="A103" t="s">
        <v>1379</v>
      </c>
      <c r="B103" t="s">
        <v>76</v>
      </c>
      <c r="C103" t="s">
        <v>77</v>
      </c>
      <c r="D103" t="s">
        <v>1121</v>
      </c>
      <c r="E103" t="s">
        <v>102</v>
      </c>
      <c r="F103" t="s">
        <v>231</v>
      </c>
      <c r="G103" t="s">
        <v>1122</v>
      </c>
    </row>
    <row r="104" spans="1:7" x14ac:dyDescent="0.3">
      <c r="A104" t="s">
        <v>1380</v>
      </c>
      <c r="B104" t="s">
        <v>49</v>
      </c>
      <c r="C104" t="s">
        <v>52</v>
      </c>
      <c r="D104" t="s">
        <v>700</v>
      </c>
      <c r="E104" t="s">
        <v>1186</v>
      </c>
      <c r="F104" t="s">
        <v>232</v>
      </c>
      <c r="G104" t="s">
        <v>1120</v>
      </c>
    </row>
    <row r="105" spans="1:7" x14ac:dyDescent="0.3">
      <c r="A105" t="s">
        <v>1381</v>
      </c>
      <c r="B105" t="s">
        <v>49</v>
      </c>
      <c r="C105" t="s">
        <v>52</v>
      </c>
      <c r="D105" t="s">
        <v>1121</v>
      </c>
      <c r="E105" t="s">
        <v>99</v>
      </c>
      <c r="F105" t="s">
        <v>233</v>
      </c>
      <c r="G105" t="s">
        <v>700</v>
      </c>
    </row>
    <row r="106" spans="1:7" x14ac:dyDescent="0.3">
      <c r="A106" t="s">
        <v>1382</v>
      </c>
      <c r="B106" t="s">
        <v>49</v>
      </c>
      <c r="C106" t="s">
        <v>50</v>
      </c>
      <c r="D106" t="s">
        <v>1123</v>
      </c>
      <c r="E106" t="s">
        <v>104</v>
      </c>
      <c r="F106" t="s">
        <v>115</v>
      </c>
      <c r="G106" t="s">
        <v>1118</v>
      </c>
    </row>
    <row r="107" spans="1:7" x14ac:dyDescent="0.3">
      <c r="A107" t="s">
        <v>1306</v>
      </c>
      <c r="B107" t="s">
        <v>93</v>
      </c>
      <c r="C107" t="s">
        <v>57</v>
      </c>
      <c r="D107" t="s">
        <v>1123</v>
      </c>
      <c r="E107" t="s">
        <v>81</v>
      </c>
      <c r="F107" t="s">
        <v>234</v>
      </c>
      <c r="G107" t="s">
        <v>700</v>
      </c>
    </row>
    <row r="108" spans="1:7" x14ac:dyDescent="0.3">
      <c r="A108" t="s">
        <v>1383</v>
      </c>
      <c r="B108" t="s">
        <v>93</v>
      </c>
      <c r="C108" t="s">
        <v>101</v>
      </c>
      <c r="D108" t="s">
        <v>1123</v>
      </c>
      <c r="E108" t="s">
        <v>235</v>
      </c>
      <c r="F108" t="s">
        <v>236</v>
      </c>
      <c r="G108" t="s">
        <v>1121</v>
      </c>
    </row>
    <row r="109" spans="1:7" x14ac:dyDescent="0.3">
      <c r="A109" t="s">
        <v>1293</v>
      </c>
      <c r="B109" t="s">
        <v>60</v>
      </c>
      <c r="C109" t="s">
        <v>61</v>
      </c>
      <c r="D109" t="s">
        <v>700</v>
      </c>
      <c r="E109" t="s">
        <v>151</v>
      </c>
      <c r="F109" t="s">
        <v>237</v>
      </c>
      <c r="G109" t="s">
        <v>1122</v>
      </c>
    </row>
    <row r="110" spans="1:7" x14ac:dyDescent="0.3">
      <c r="A110" t="s">
        <v>1384</v>
      </c>
      <c r="B110" t="s">
        <v>93</v>
      </c>
      <c r="C110" t="s">
        <v>57</v>
      </c>
      <c r="D110" t="s">
        <v>1120</v>
      </c>
      <c r="E110" t="s">
        <v>238</v>
      </c>
      <c r="F110" t="s">
        <v>239</v>
      </c>
      <c r="G110" t="s">
        <v>1121</v>
      </c>
    </row>
    <row r="111" spans="1:7" x14ac:dyDescent="0.3">
      <c r="A111" t="s">
        <v>1385</v>
      </c>
      <c r="B111" t="s">
        <v>201</v>
      </c>
      <c r="C111" t="s">
        <v>109</v>
      </c>
      <c r="D111" t="s">
        <v>1123</v>
      </c>
      <c r="E111" t="s">
        <v>240</v>
      </c>
      <c r="F111" t="s">
        <v>241</v>
      </c>
      <c r="G111" t="s">
        <v>1121</v>
      </c>
    </row>
    <row r="112" spans="1:7" x14ac:dyDescent="0.3">
      <c r="A112" t="s">
        <v>1304</v>
      </c>
      <c r="B112" t="s">
        <v>60</v>
      </c>
      <c r="C112" t="s">
        <v>69</v>
      </c>
      <c r="D112" t="s">
        <v>1120</v>
      </c>
      <c r="E112" t="s">
        <v>242</v>
      </c>
      <c r="F112" t="s">
        <v>243</v>
      </c>
      <c r="G112" t="s">
        <v>1120</v>
      </c>
    </row>
    <row r="113" spans="1:7" x14ac:dyDescent="0.3">
      <c r="A113" t="s">
        <v>1386</v>
      </c>
      <c r="B113" t="s">
        <v>89</v>
      </c>
      <c r="C113" t="s">
        <v>131</v>
      </c>
      <c r="D113" t="s">
        <v>1120</v>
      </c>
      <c r="E113" t="s">
        <v>244</v>
      </c>
      <c r="F113" t="s">
        <v>245</v>
      </c>
      <c r="G113" t="s">
        <v>1122</v>
      </c>
    </row>
    <row r="114" spans="1:7" x14ac:dyDescent="0.3">
      <c r="A114" t="s">
        <v>1387</v>
      </c>
      <c r="B114" t="s">
        <v>108</v>
      </c>
      <c r="C114" t="s">
        <v>169</v>
      </c>
      <c r="D114" t="s">
        <v>1120</v>
      </c>
      <c r="E114" t="s">
        <v>246</v>
      </c>
      <c r="F114" t="s">
        <v>247</v>
      </c>
      <c r="G114" t="s">
        <v>1122</v>
      </c>
    </row>
    <row r="115" spans="1:7" x14ac:dyDescent="0.3">
      <c r="A115" t="s">
        <v>1388</v>
      </c>
      <c r="B115" t="s">
        <v>93</v>
      </c>
      <c r="C115" t="s">
        <v>101</v>
      </c>
      <c r="D115" t="s">
        <v>1121</v>
      </c>
      <c r="E115" t="s">
        <v>248</v>
      </c>
      <c r="F115" t="s">
        <v>249</v>
      </c>
      <c r="G115" t="s">
        <v>1122</v>
      </c>
    </row>
    <row r="116" spans="1:7" x14ac:dyDescent="0.3">
      <c r="A116" t="s">
        <v>1308</v>
      </c>
      <c r="B116" t="s">
        <v>93</v>
      </c>
      <c r="C116" t="s">
        <v>101</v>
      </c>
      <c r="D116" t="s">
        <v>1118</v>
      </c>
      <c r="E116" t="s">
        <v>250</v>
      </c>
      <c r="F116" t="s">
        <v>251</v>
      </c>
      <c r="G116" t="s">
        <v>1119</v>
      </c>
    </row>
    <row r="117" spans="1:7" x14ac:dyDescent="0.3">
      <c r="A117" t="s">
        <v>1389</v>
      </c>
      <c r="B117" t="s">
        <v>60</v>
      </c>
      <c r="C117" t="s">
        <v>64</v>
      </c>
      <c r="D117" t="s">
        <v>1121</v>
      </c>
      <c r="E117" t="s">
        <v>252</v>
      </c>
      <c r="F117" t="s">
        <v>253</v>
      </c>
      <c r="G117" t="s">
        <v>1121</v>
      </c>
    </row>
    <row r="118" spans="1:7" x14ac:dyDescent="0.3">
      <c r="A118" t="s">
        <v>1316</v>
      </c>
      <c r="B118" t="s">
        <v>108</v>
      </c>
      <c r="C118" t="s">
        <v>169</v>
      </c>
      <c r="D118" t="s">
        <v>1120</v>
      </c>
      <c r="E118" t="s">
        <v>66</v>
      </c>
      <c r="F118" t="s">
        <v>254</v>
      </c>
      <c r="G118" t="s">
        <v>1119</v>
      </c>
    </row>
    <row r="119" spans="1:7" x14ac:dyDescent="0.3">
      <c r="A119" t="s">
        <v>1319</v>
      </c>
      <c r="B119" t="s">
        <v>76</v>
      </c>
      <c r="C119" t="s">
        <v>80</v>
      </c>
      <c r="D119" t="s">
        <v>1123</v>
      </c>
      <c r="E119" t="s">
        <v>1181</v>
      </c>
      <c r="F119" t="s">
        <v>1191</v>
      </c>
      <c r="G119" t="s">
        <v>1119</v>
      </c>
    </row>
    <row r="120" spans="1:7" x14ac:dyDescent="0.3">
      <c r="A120" t="s">
        <v>1390</v>
      </c>
      <c r="B120" t="s">
        <v>76</v>
      </c>
      <c r="C120" t="s">
        <v>84</v>
      </c>
      <c r="D120" t="s">
        <v>1120</v>
      </c>
      <c r="E120" t="s">
        <v>151</v>
      </c>
      <c r="F120" t="s">
        <v>255</v>
      </c>
      <c r="G120" t="s">
        <v>1122</v>
      </c>
    </row>
    <row r="121" spans="1:7" x14ac:dyDescent="0.3">
      <c r="A121" t="s">
        <v>1391</v>
      </c>
      <c r="B121" t="s">
        <v>76</v>
      </c>
      <c r="C121" t="s">
        <v>77</v>
      </c>
      <c r="D121" t="s">
        <v>1118</v>
      </c>
      <c r="E121" t="s">
        <v>256</v>
      </c>
      <c r="F121" t="s">
        <v>66</v>
      </c>
      <c r="G121" t="s">
        <v>1122</v>
      </c>
    </row>
    <row r="122" spans="1:7" x14ac:dyDescent="0.3">
      <c r="A122" t="s">
        <v>1392</v>
      </c>
      <c r="B122" t="s">
        <v>93</v>
      </c>
      <c r="C122" t="s">
        <v>101</v>
      </c>
      <c r="D122" t="s">
        <v>1123</v>
      </c>
      <c r="E122" t="s">
        <v>148</v>
      </c>
      <c r="F122" t="s">
        <v>257</v>
      </c>
      <c r="G122" t="s">
        <v>1121</v>
      </c>
    </row>
    <row r="123" spans="1:7" x14ac:dyDescent="0.3">
      <c r="A123" t="s">
        <v>1291</v>
      </c>
      <c r="B123" t="s">
        <v>89</v>
      </c>
      <c r="C123" t="s">
        <v>90</v>
      </c>
      <c r="D123" t="s">
        <v>1123</v>
      </c>
      <c r="E123" t="s">
        <v>176</v>
      </c>
      <c r="F123" t="s">
        <v>1192</v>
      </c>
      <c r="G123" t="s">
        <v>1122</v>
      </c>
    </row>
    <row r="124" spans="1:7" x14ac:dyDescent="0.3">
      <c r="A124" t="s">
        <v>1294</v>
      </c>
      <c r="B124" t="s">
        <v>49</v>
      </c>
      <c r="C124" t="s">
        <v>52</v>
      </c>
      <c r="D124" t="s">
        <v>1123</v>
      </c>
      <c r="E124" t="s">
        <v>39</v>
      </c>
      <c r="F124" t="s">
        <v>258</v>
      </c>
      <c r="G124" t="s">
        <v>1118</v>
      </c>
    </row>
    <row r="125" spans="1:7" x14ac:dyDescent="0.3">
      <c r="A125" t="s">
        <v>1393</v>
      </c>
      <c r="B125" t="s">
        <v>76</v>
      </c>
      <c r="C125" t="s">
        <v>84</v>
      </c>
      <c r="D125" t="s">
        <v>700</v>
      </c>
      <c r="E125" t="s">
        <v>259</v>
      </c>
      <c r="F125" t="s">
        <v>1193</v>
      </c>
      <c r="G125" t="s">
        <v>1121</v>
      </c>
    </row>
    <row r="126" spans="1:7" x14ac:dyDescent="0.3">
      <c r="A126" t="s">
        <v>1378</v>
      </c>
      <c r="B126" t="s">
        <v>41</v>
      </c>
      <c r="C126" t="s">
        <v>66</v>
      </c>
      <c r="D126" t="s">
        <v>1121</v>
      </c>
      <c r="E126" t="s">
        <v>229</v>
      </c>
      <c r="F126" t="s">
        <v>260</v>
      </c>
      <c r="G126" t="s">
        <v>1122</v>
      </c>
    </row>
    <row r="127" spans="1:7" x14ac:dyDescent="0.3">
      <c r="A127" t="s">
        <v>1393</v>
      </c>
      <c r="B127" t="s">
        <v>108</v>
      </c>
      <c r="C127" t="s">
        <v>109</v>
      </c>
      <c r="D127" t="s">
        <v>1118</v>
      </c>
      <c r="E127" t="s">
        <v>261</v>
      </c>
      <c r="F127" t="s">
        <v>262</v>
      </c>
      <c r="G127" t="s">
        <v>1122</v>
      </c>
    </row>
    <row r="128" spans="1:7" x14ac:dyDescent="0.3">
      <c r="A128" t="s">
        <v>1394</v>
      </c>
      <c r="B128" t="s">
        <v>60</v>
      </c>
      <c r="C128" t="s">
        <v>64</v>
      </c>
      <c r="D128" t="s">
        <v>1123</v>
      </c>
      <c r="E128" t="s">
        <v>54</v>
      </c>
      <c r="F128" t="s">
        <v>1190</v>
      </c>
      <c r="G128" t="s">
        <v>1118</v>
      </c>
    </row>
    <row r="129" spans="1:7" x14ac:dyDescent="0.3">
      <c r="A129" t="s">
        <v>1299</v>
      </c>
      <c r="B129" t="s">
        <v>60</v>
      </c>
      <c r="C129" t="s">
        <v>69</v>
      </c>
      <c r="D129" t="s">
        <v>1120</v>
      </c>
      <c r="E129" t="s">
        <v>263</v>
      </c>
      <c r="F129" t="s">
        <v>264</v>
      </c>
      <c r="G129" t="s">
        <v>1122</v>
      </c>
    </row>
    <row r="130" spans="1:7" x14ac:dyDescent="0.3">
      <c r="A130" t="s">
        <v>1395</v>
      </c>
      <c r="B130" t="s">
        <v>93</v>
      </c>
      <c r="C130" t="s">
        <v>101</v>
      </c>
      <c r="D130" t="s">
        <v>1118</v>
      </c>
      <c r="E130" t="s">
        <v>265</v>
      </c>
      <c r="F130" t="s">
        <v>266</v>
      </c>
      <c r="G130" t="s">
        <v>1121</v>
      </c>
    </row>
    <row r="131" spans="1:7" x14ac:dyDescent="0.3">
      <c r="A131" t="s">
        <v>1396</v>
      </c>
      <c r="B131" t="s">
        <v>41</v>
      </c>
      <c r="C131" t="s">
        <v>42</v>
      </c>
      <c r="D131" t="s">
        <v>1118</v>
      </c>
      <c r="E131" t="s">
        <v>267</v>
      </c>
      <c r="F131" t="s">
        <v>268</v>
      </c>
      <c r="G131" t="s">
        <v>1118</v>
      </c>
    </row>
    <row r="132" spans="1:7" x14ac:dyDescent="0.3">
      <c r="A132" t="s">
        <v>1397</v>
      </c>
      <c r="B132" t="s">
        <v>108</v>
      </c>
      <c r="C132" t="s">
        <v>109</v>
      </c>
      <c r="D132" t="s">
        <v>700</v>
      </c>
      <c r="E132" t="s">
        <v>269</v>
      </c>
      <c r="F132" t="s">
        <v>270</v>
      </c>
      <c r="G132" t="s">
        <v>1119</v>
      </c>
    </row>
    <row r="133" spans="1:7" x14ac:dyDescent="0.3">
      <c r="A133" t="s">
        <v>1307</v>
      </c>
      <c r="B133" t="s">
        <v>60</v>
      </c>
      <c r="C133" t="s">
        <v>64</v>
      </c>
      <c r="D133" t="s">
        <v>1123</v>
      </c>
      <c r="E133" t="s">
        <v>65</v>
      </c>
      <c r="F133" t="s">
        <v>66</v>
      </c>
      <c r="G133" t="s">
        <v>1118</v>
      </c>
    </row>
    <row r="134" spans="1:7" x14ac:dyDescent="0.3">
      <c r="A134" t="s">
        <v>1345</v>
      </c>
      <c r="B134" t="s">
        <v>49</v>
      </c>
      <c r="C134" t="s">
        <v>52</v>
      </c>
      <c r="D134" t="s">
        <v>1123</v>
      </c>
      <c r="E134" t="s">
        <v>47</v>
      </c>
      <c r="F134" t="s">
        <v>271</v>
      </c>
      <c r="G134" t="s">
        <v>1121</v>
      </c>
    </row>
    <row r="135" spans="1:7" x14ac:dyDescent="0.3">
      <c r="A135" t="s">
        <v>1398</v>
      </c>
      <c r="B135" t="s">
        <v>49</v>
      </c>
      <c r="C135" t="s">
        <v>50</v>
      </c>
      <c r="D135" t="s">
        <v>1121</v>
      </c>
      <c r="E135" t="s">
        <v>248</v>
      </c>
      <c r="F135" t="s">
        <v>272</v>
      </c>
      <c r="G135" t="s">
        <v>1122</v>
      </c>
    </row>
    <row r="136" spans="1:7" x14ac:dyDescent="0.3">
      <c r="A136" t="s">
        <v>1399</v>
      </c>
      <c r="B136" t="s">
        <v>41</v>
      </c>
      <c r="C136" t="s">
        <v>73</v>
      </c>
      <c r="D136" t="s">
        <v>1121</v>
      </c>
      <c r="E136" t="s">
        <v>273</v>
      </c>
      <c r="F136" t="s">
        <v>227</v>
      </c>
      <c r="G136" t="s">
        <v>1119</v>
      </c>
    </row>
    <row r="137" spans="1:7" x14ac:dyDescent="0.3">
      <c r="A137" t="s">
        <v>1342</v>
      </c>
      <c r="B137" t="s">
        <v>76</v>
      </c>
      <c r="C137" t="s">
        <v>80</v>
      </c>
      <c r="D137" t="s">
        <v>700</v>
      </c>
      <c r="E137" t="s">
        <v>274</v>
      </c>
      <c r="F137" t="s">
        <v>275</v>
      </c>
      <c r="G137" t="s">
        <v>1119</v>
      </c>
    </row>
    <row r="138" spans="1:7" x14ac:dyDescent="0.3">
      <c r="A138" t="s">
        <v>1314</v>
      </c>
      <c r="B138" t="s">
        <v>27</v>
      </c>
      <c r="C138" t="s">
        <v>28</v>
      </c>
      <c r="D138" t="s">
        <v>1120</v>
      </c>
      <c r="E138" t="s">
        <v>94</v>
      </c>
      <c r="F138" t="s">
        <v>276</v>
      </c>
      <c r="G138" t="s">
        <v>1122</v>
      </c>
    </row>
    <row r="139" spans="1:7" x14ac:dyDescent="0.3">
      <c r="A139" t="s">
        <v>1400</v>
      </c>
      <c r="B139" t="s">
        <v>27</v>
      </c>
      <c r="C139" t="s">
        <v>38</v>
      </c>
      <c r="D139" t="s">
        <v>1121</v>
      </c>
      <c r="E139" t="s">
        <v>277</v>
      </c>
      <c r="F139" t="s">
        <v>278</v>
      </c>
      <c r="G139" t="s">
        <v>1121</v>
      </c>
    </row>
    <row r="140" spans="1:7" x14ac:dyDescent="0.3">
      <c r="A140" t="s">
        <v>1379</v>
      </c>
      <c r="B140" t="s">
        <v>93</v>
      </c>
      <c r="C140" t="s">
        <v>57</v>
      </c>
      <c r="D140" t="s">
        <v>1120</v>
      </c>
      <c r="E140" t="s">
        <v>279</v>
      </c>
      <c r="F140" t="s">
        <v>280</v>
      </c>
      <c r="G140" t="s">
        <v>700</v>
      </c>
    </row>
    <row r="141" spans="1:7" x14ac:dyDescent="0.3">
      <c r="A141" t="s">
        <v>1401</v>
      </c>
      <c r="B141" t="s">
        <v>41</v>
      </c>
      <c r="C141" t="s">
        <v>73</v>
      </c>
      <c r="D141" t="s">
        <v>700</v>
      </c>
      <c r="E141" t="s">
        <v>281</v>
      </c>
      <c r="F141" t="s">
        <v>282</v>
      </c>
      <c r="G141" t="s">
        <v>1118</v>
      </c>
    </row>
    <row r="142" spans="1:7" x14ac:dyDescent="0.3">
      <c r="A142" t="s">
        <v>1402</v>
      </c>
      <c r="B142" t="s">
        <v>49</v>
      </c>
      <c r="C142" t="s">
        <v>52</v>
      </c>
      <c r="D142" t="s">
        <v>700</v>
      </c>
      <c r="E142" t="s">
        <v>283</v>
      </c>
      <c r="F142" t="s">
        <v>284</v>
      </c>
      <c r="G142" t="s">
        <v>1118</v>
      </c>
    </row>
    <row r="143" spans="1:7" x14ac:dyDescent="0.3">
      <c r="A143" t="s">
        <v>1403</v>
      </c>
      <c r="B143" t="s">
        <v>89</v>
      </c>
      <c r="C143" t="s">
        <v>90</v>
      </c>
      <c r="D143" t="s">
        <v>700</v>
      </c>
      <c r="E143" t="s">
        <v>285</v>
      </c>
      <c r="F143" t="s">
        <v>66</v>
      </c>
      <c r="G143" t="s">
        <v>1121</v>
      </c>
    </row>
    <row r="144" spans="1:7" x14ac:dyDescent="0.3">
      <c r="A144" t="s">
        <v>1404</v>
      </c>
      <c r="B144" t="s">
        <v>76</v>
      </c>
      <c r="C144" t="s">
        <v>80</v>
      </c>
      <c r="D144" t="s">
        <v>700</v>
      </c>
      <c r="E144" t="s">
        <v>1194</v>
      </c>
      <c r="F144" t="s">
        <v>237</v>
      </c>
      <c r="G144" t="s">
        <v>1119</v>
      </c>
    </row>
    <row r="145" spans="1:7" x14ac:dyDescent="0.3">
      <c r="A145" t="s">
        <v>1405</v>
      </c>
      <c r="B145" t="s">
        <v>93</v>
      </c>
      <c r="C145" t="s">
        <v>57</v>
      </c>
      <c r="D145" t="s">
        <v>1120</v>
      </c>
      <c r="E145" t="s">
        <v>1184</v>
      </c>
      <c r="F145" t="s">
        <v>286</v>
      </c>
      <c r="G145" t="s">
        <v>1118</v>
      </c>
    </row>
    <row r="146" spans="1:7" x14ac:dyDescent="0.3">
      <c r="A146" t="s">
        <v>1406</v>
      </c>
      <c r="B146" t="s">
        <v>27</v>
      </c>
      <c r="C146" t="s">
        <v>31</v>
      </c>
      <c r="D146" t="s">
        <v>1118</v>
      </c>
      <c r="E146" t="s">
        <v>287</v>
      </c>
      <c r="F146" t="s">
        <v>288</v>
      </c>
      <c r="G146" t="s">
        <v>1121</v>
      </c>
    </row>
    <row r="147" spans="1:7" x14ac:dyDescent="0.3">
      <c r="A147" t="s">
        <v>1407</v>
      </c>
      <c r="B147" t="s">
        <v>289</v>
      </c>
      <c r="C147" t="s">
        <v>131</v>
      </c>
      <c r="D147" t="s">
        <v>1121</v>
      </c>
      <c r="E147" t="s">
        <v>229</v>
      </c>
      <c r="F147" t="s">
        <v>290</v>
      </c>
      <c r="G147" t="s">
        <v>1121</v>
      </c>
    </row>
    <row r="148" spans="1:7" x14ac:dyDescent="0.3">
      <c r="A148" t="s">
        <v>1408</v>
      </c>
      <c r="B148" t="s">
        <v>93</v>
      </c>
      <c r="C148" t="s">
        <v>101</v>
      </c>
      <c r="D148" t="s">
        <v>700</v>
      </c>
      <c r="E148" t="s">
        <v>291</v>
      </c>
      <c r="F148" t="s">
        <v>292</v>
      </c>
      <c r="G148" t="s">
        <v>1120</v>
      </c>
    </row>
    <row r="149" spans="1:7" x14ac:dyDescent="0.3">
      <c r="A149" t="s">
        <v>1409</v>
      </c>
      <c r="B149" t="s">
        <v>76</v>
      </c>
      <c r="C149" t="s">
        <v>80</v>
      </c>
      <c r="D149" t="s">
        <v>1118</v>
      </c>
      <c r="E149" t="s">
        <v>293</v>
      </c>
      <c r="F149" t="s">
        <v>294</v>
      </c>
      <c r="G149" t="s">
        <v>1118</v>
      </c>
    </row>
    <row r="150" spans="1:7" x14ac:dyDescent="0.3">
      <c r="A150" t="s">
        <v>1410</v>
      </c>
      <c r="B150" t="s">
        <v>41</v>
      </c>
      <c r="C150" t="s">
        <v>42</v>
      </c>
      <c r="D150" t="s">
        <v>1120</v>
      </c>
      <c r="E150" t="s">
        <v>1181</v>
      </c>
      <c r="F150" t="s">
        <v>295</v>
      </c>
      <c r="G150" t="s">
        <v>1118</v>
      </c>
    </row>
    <row r="151" spans="1:7" x14ac:dyDescent="0.3">
      <c r="A151" t="s">
        <v>1411</v>
      </c>
      <c r="B151" t="s">
        <v>41</v>
      </c>
      <c r="C151" t="s">
        <v>46</v>
      </c>
      <c r="D151" t="s">
        <v>1120</v>
      </c>
      <c r="E151" t="s">
        <v>172</v>
      </c>
      <c r="F151" t="s">
        <v>296</v>
      </c>
      <c r="G151" t="s">
        <v>1118</v>
      </c>
    </row>
    <row r="152" spans="1:7" x14ac:dyDescent="0.3">
      <c r="A152" t="s">
        <v>1412</v>
      </c>
      <c r="B152" t="s">
        <v>27</v>
      </c>
      <c r="C152" t="s">
        <v>28</v>
      </c>
      <c r="D152" t="s">
        <v>1123</v>
      </c>
      <c r="E152" t="s">
        <v>274</v>
      </c>
      <c r="F152" t="s">
        <v>297</v>
      </c>
      <c r="G152" t="s">
        <v>1120</v>
      </c>
    </row>
    <row r="153" spans="1:7" x14ac:dyDescent="0.3">
      <c r="A153" t="s">
        <v>1290</v>
      </c>
      <c r="B153" t="s">
        <v>89</v>
      </c>
      <c r="C153" t="s">
        <v>90</v>
      </c>
      <c r="D153" t="s">
        <v>1118</v>
      </c>
      <c r="E153" t="s">
        <v>298</v>
      </c>
      <c r="F153" t="s">
        <v>299</v>
      </c>
      <c r="G153" t="s">
        <v>1122</v>
      </c>
    </row>
    <row r="154" spans="1:7" x14ac:dyDescent="0.3">
      <c r="A154" t="s">
        <v>1413</v>
      </c>
      <c r="B154" t="s">
        <v>300</v>
      </c>
      <c r="C154" t="s">
        <v>46</v>
      </c>
      <c r="D154" t="s">
        <v>1118</v>
      </c>
      <c r="E154" t="s">
        <v>39</v>
      </c>
      <c r="F154" t="s">
        <v>301</v>
      </c>
      <c r="G154" t="s">
        <v>1122</v>
      </c>
    </row>
    <row r="155" spans="1:7" x14ac:dyDescent="0.3">
      <c r="A155" t="s">
        <v>1414</v>
      </c>
      <c r="B155" t="s">
        <v>93</v>
      </c>
      <c r="C155" t="s">
        <v>101</v>
      </c>
      <c r="D155" t="s">
        <v>1118</v>
      </c>
      <c r="E155" t="s">
        <v>1177</v>
      </c>
      <c r="F155" t="s">
        <v>1195</v>
      </c>
      <c r="G155" t="s">
        <v>1119</v>
      </c>
    </row>
    <row r="156" spans="1:7" x14ac:dyDescent="0.3">
      <c r="A156" t="s">
        <v>1401</v>
      </c>
      <c r="B156" t="s">
        <v>89</v>
      </c>
      <c r="C156" t="s">
        <v>131</v>
      </c>
      <c r="D156" t="s">
        <v>1121</v>
      </c>
      <c r="E156" t="s">
        <v>148</v>
      </c>
      <c r="F156" t="s">
        <v>302</v>
      </c>
      <c r="G156" t="s">
        <v>1122</v>
      </c>
    </row>
    <row r="157" spans="1:7" x14ac:dyDescent="0.3">
      <c r="A157" t="s">
        <v>1415</v>
      </c>
      <c r="B157" t="s">
        <v>76</v>
      </c>
      <c r="C157" t="s">
        <v>80</v>
      </c>
      <c r="D157" t="s">
        <v>1120</v>
      </c>
      <c r="E157" t="s">
        <v>303</v>
      </c>
      <c r="F157" t="s">
        <v>304</v>
      </c>
      <c r="G157" t="s">
        <v>1118</v>
      </c>
    </row>
    <row r="158" spans="1:7" x14ac:dyDescent="0.3">
      <c r="A158" t="s">
        <v>1416</v>
      </c>
      <c r="B158" t="s">
        <v>89</v>
      </c>
      <c r="C158" t="s">
        <v>90</v>
      </c>
      <c r="D158" t="s">
        <v>1121</v>
      </c>
      <c r="E158" t="s">
        <v>32</v>
      </c>
      <c r="F158" t="s">
        <v>107</v>
      </c>
      <c r="G158" t="s">
        <v>1118</v>
      </c>
    </row>
    <row r="159" spans="1:7" x14ac:dyDescent="0.3">
      <c r="A159" t="s">
        <v>1417</v>
      </c>
      <c r="B159" t="s">
        <v>89</v>
      </c>
      <c r="C159" t="s">
        <v>90</v>
      </c>
      <c r="D159" t="s">
        <v>1123</v>
      </c>
      <c r="E159" t="s">
        <v>1196</v>
      </c>
      <c r="F159" t="s">
        <v>305</v>
      </c>
      <c r="G159" t="s">
        <v>1119</v>
      </c>
    </row>
    <row r="160" spans="1:7" x14ac:dyDescent="0.3">
      <c r="A160" t="s">
        <v>1418</v>
      </c>
      <c r="B160" t="s">
        <v>108</v>
      </c>
      <c r="C160" t="s">
        <v>109</v>
      </c>
      <c r="D160" t="s">
        <v>1120</v>
      </c>
      <c r="E160" t="s">
        <v>277</v>
      </c>
      <c r="F160" t="s">
        <v>1197</v>
      </c>
      <c r="G160" t="s">
        <v>1123</v>
      </c>
    </row>
    <row r="161" spans="1:7" x14ac:dyDescent="0.3">
      <c r="A161" t="s">
        <v>1419</v>
      </c>
      <c r="B161" t="s">
        <v>76</v>
      </c>
      <c r="C161" t="s">
        <v>80</v>
      </c>
      <c r="D161" t="s">
        <v>1120</v>
      </c>
      <c r="E161" t="s">
        <v>1198</v>
      </c>
      <c r="F161" t="s">
        <v>306</v>
      </c>
      <c r="G161" t="s">
        <v>1118</v>
      </c>
    </row>
    <row r="162" spans="1:7" x14ac:dyDescent="0.3">
      <c r="A162" t="s">
        <v>1420</v>
      </c>
      <c r="B162" t="s">
        <v>41</v>
      </c>
      <c r="C162" t="s">
        <v>42</v>
      </c>
      <c r="D162" t="s">
        <v>700</v>
      </c>
      <c r="E162" t="s">
        <v>307</v>
      </c>
      <c r="F162" t="s">
        <v>308</v>
      </c>
      <c r="G162" t="s">
        <v>1119</v>
      </c>
    </row>
    <row r="163" spans="1:7" x14ac:dyDescent="0.3">
      <c r="A163" t="s">
        <v>1421</v>
      </c>
      <c r="B163" t="s">
        <v>108</v>
      </c>
      <c r="C163" t="s">
        <v>109</v>
      </c>
      <c r="D163" t="s">
        <v>1120</v>
      </c>
      <c r="E163" t="s">
        <v>309</v>
      </c>
      <c r="F163" t="s">
        <v>310</v>
      </c>
      <c r="G163" t="s">
        <v>1118</v>
      </c>
    </row>
    <row r="164" spans="1:7" x14ac:dyDescent="0.3">
      <c r="A164" t="s">
        <v>1313</v>
      </c>
      <c r="B164" t="s">
        <v>93</v>
      </c>
      <c r="C164" t="s">
        <v>101</v>
      </c>
      <c r="D164" t="s">
        <v>1120</v>
      </c>
      <c r="E164" t="s">
        <v>248</v>
      </c>
      <c r="F164" t="s">
        <v>311</v>
      </c>
      <c r="G164" t="s">
        <v>1121</v>
      </c>
    </row>
    <row r="165" spans="1:7" x14ac:dyDescent="0.3">
      <c r="A165" t="s">
        <v>1377</v>
      </c>
      <c r="B165" t="s">
        <v>312</v>
      </c>
      <c r="C165" t="s">
        <v>77</v>
      </c>
      <c r="D165" t="s">
        <v>1123</v>
      </c>
      <c r="E165" t="s">
        <v>139</v>
      </c>
      <c r="F165" t="s">
        <v>313</v>
      </c>
      <c r="G165" t="s">
        <v>1119</v>
      </c>
    </row>
    <row r="166" spans="1:7" x14ac:dyDescent="0.3">
      <c r="A166" t="s">
        <v>1422</v>
      </c>
      <c r="B166" t="s">
        <v>49</v>
      </c>
      <c r="C166" t="s">
        <v>52</v>
      </c>
      <c r="D166" t="s">
        <v>700</v>
      </c>
      <c r="E166" t="s">
        <v>1199</v>
      </c>
      <c r="F166" t="s">
        <v>1200</v>
      </c>
      <c r="G166" t="s">
        <v>1122</v>
      </c>
    </row>
    <row r="167" spans="1:7" x14ac:dyDescent="0.3">
      <c r="A167" t="s">
        <v>1423</v>
      </c>
      <c r="B167" t="s">
        <v>108</v>
      </c>
      <c r="C167" t="s">
        <v>169</v>
      </c>
      <c r="D167" t="s">
        <v>700</v>
      </c>
      <c r="E167" t="s">
        <v>314</v>
      </c>
      <c r="F167" t="s">
        <v>315</v>
      </c>
      <c r="G167" t="s">
        <v>1119</v>
      </c>
    </row>
    <row r="168" spans="1:7" x14ac:dyDescent="0.3">
      <c r="A168" t="s">
        <v>1424</v>
      </c>
      <c r="B168" t="s">
        <v>49</v>
      </c>
      <c r="C168" t="s">
        <v>50</v>
      </c>
      <c r="D168" t="s">
        <v>1120</v>
      </c>
      <c r="E168" t="s">
        <v>316</v>
      </c>
      <c r="F168" t="s">
        <v>317</v>
      </c>
      <c r="G168" t="s">
        <v>1120</v>
      </c>
    </row>
    <row r="169" spans="1:7" x14ac:dyDescent="0.3">
      <c r="A169" t="s">
        <v>1303</v>
      </c>
      <c r="B169" t="s">
        <v>89</v>
      </c>
      <c r="C169" t="s">
        <v>90</v>
      </c>
      <c r="D169" t="s">
        <v>700</v>
      </c>
      <c r="E169" t="s">
        <v>1198</v>
      </c>
      <c r="F169" t="s">
        <v>1201</v>
      </c>
      <c r="G169" t="s">
        <v>1118</v>
      </c>
    </row>
    <row r="170" spans="1:7" x14ac:dyDescent="0.3">
      <c r="A170" t="s">
        <v>1425</v>
      </c>
      <c r="B170" t="s">
        <v>49</v>
      </c>
      <c r="C170" t="s">
        <v>50</v>
      </c>
      <c r="D170" t="s">
        <v>700</v>
      </c>
      <c r="E170" t="s">
        <v>191</v>
      </c>
      <c r="F170" t="s">
        <v>1202</v>
      </c>
      <c r="G170" t="s">
        <v>1121</v>
      </c>
    </row>
    <row r="171" spans="1:7" x14ac:dyDescent="0.3">
      <c r="A171" t="s">
        <v>1426</v>
      </c>
      <c r="B171" t="s">
        <v>76</v>
      </c>
      <c r="C171" t="s">
        <v>84</v>
      </c>
      <c r="D171" t="s">
        <v>700</v>
      </c>
      <c r="E171" t="s">
        <v>318</v>
      </c>
      <c r="F171" t="s">
        <v>319</v>
      </c>
      <c r="G171" t="s">
        <v>1119</v>
      </c>
    </row>
    <row r="172" spans="1:7" x14ac:dyDescent="0.3">
      <c r="A172" t="s">
        <v>1427</v>
      </c>
      <c r="B172" t="s">
        <v>76</v>
      </c>
      <c r="C172" t="s">
        <v>80</v>
      </c>
      <c r="D172" t="s">
        <v>700</v>
      </c>
      <c r="E172" t="s">
        <v>1203</v>
      </c>
      <c r="F172" t="s">
        <v>320</v>
      </c>
      <c r="G172" t="s">
        <v>1118</v>
      </c>
    </row>
    <row r="173" spans="1:7" x14ac:dyDescent="0.3">
      <c r="A173" t="s">
        <v>1428</v>
      </c>
      <c r="B173" t="s">
        <v>41</v>
      </c>
      <c r="C173" t="s">
        <v>66</v>
      </c>
      <c r="D173" t="s">
        <v>700</v>
      </c>
      <c r="E173" t="s">
        <v>321</v>
      </c>
      <c r="F173" t="s">
        <v>144</v>
      </c>
      <c r="G173" t="s">
        <v>1122</v>
      </c>
    </row>
    <row r="174" spans="1:7" x14ac:dyDescent="0.3">
      <c r="A174" t="s">
        <v>1429</v>
      </c>
      <c r="B174" t="s">
        <v>60</v>
      </c>
      <c r="C174" t="s">
        <v>64</v>
      </c>
      <c r="D174" t="s">
        <v>700</v>
      </c>
      <c r="E174" t="s">
        <v>322</v>
      </c>
      <c r="F174" t="s">
        <v>323</v>
      </c>
      <c r="G174" t="s">
        <v>1122</v>
      </c>
    </row>
    <row r="175" spans="1:7" x14ac:dyDescent="0.3">
      <c r="A175" t="s">
        <v>1430</v>
      </c>
      <c r="B175" t="s">
        <v>76</v>
      </c>
      <c r="C175" t="s">
        <v>84</v>
      </c>
      <c r="D175" t="s">
        <v>1121</v>
      </c>
      <c r="E175" t="s">
        <v>112</v>
      </c>
      <c r="F175" t="s">
        <v>324</v>
      </c>
      <c r="G175" t="s">
        <v>1118</v>
      </c>
    </row>
    <row r="176" spans="1:7" x14ac:dyDescent="0.3">
      <c r="A176" t="s">
        <v>1335</v>
      </c>
      <c r="B176" t="s">
        <v>27</v>
      </c>
      <c r="C176" t="s">
        <v>28</v>
      </c>
      <c r="D176" t="s">
        <v>1120</v>
      </c>
      <c r="E176" t="s">
        <v>325</v>
      </c>
      <c r="F176" t="s">
        <v>326</v>
      </c>
      <c r="G176" t="s">
        <v>1122</v>
      </c>
    </row>
    <row r="177" spans="1:7" x14ac:dyDescent="0.3">
      <c r="A177" t="s">
        <v>1345</v>
      </c>
      <c r="B177" t="s">
        <v>108</v>
      </c>
      <c r="C177" t="s">
        <v>109</v>
      </c>
      <c r="D177" t="s">
        <v>1123</v>
      </c>
      <c r="E177" t="s">
        <v>123</v>
      </c>
      <c r="F177" t="s">
        <v>327</v>
      </c>
      <c r="G177" t="s">
        <v>1118</v>
      </c>
    </row>
    <row r="178" spans="1:7" x14ac:dyDescent="0.3">
      <c r="A178" t="s">
        <v>1431</v>
      </c>
      <c r="B178" t="s">
        <v>76</v>
      </c>
      <c r="C178" t="s">
        <v>80</v>
      </c>
      <c r="D178" t="s">
        <v>1121</v>
      </c>
      <c r="E178" t="s">
        <v>328</v>
      </c>
      <c r="F178" t="s">
        <v>329</v>
      </c>
      <c r="G178" t="s">
        <v>1119</v>
      </c>
    </row>
    <row r="179" spans="1:7" x14ac:dyDescent="0.3">
      <c r="A179" t="s">
        <v>1340</v>
      </c>
      <c r="B179" t="s">
        <v>49</v>
      </c>
      <c r="C179" t="s">
        <v>52</v>
      </c>
      <c r="D179" t="s">
        <v>1120</v>
      </c>
      <c r="E179" t="s">
        <v>330</v>
      </c>
      <c r="F179" t="s">
        <v>331</v>
      </c>
      <c r="G179" t="s">
        <v>1118</v>
      </c>
    </row>
    <row r="180" spans="1:7" x14ac:dyDescent="0.3">
      <c r="A180" t="s">
        <v>1432</v>
      </c>
      <c r="B180" t="s">
        <v>27</v>
      </c>
      <c r="C180" t="s">
        <v>38</v>
      </c>
      <c r="D180" t="s">
        <v>1118</v>
      </c>
      <c r="E180" t="s">
        <v>332</v>
      </c>
      <c r="F180" t="s">
        <v>333</v>
      </c>
      <c r="G180" t="s">
        <v>1122</v>
      </c>
    </row>
    <row r="181" spans="1:7" x14ac:dyDescent="0.3">
      <c r="A181" t="s">
        <v>1433</v>
      </c>
      <c r="B181" t="s">
        <v>27</v>
      </c>
      <c r="C181" t="s">
        <v>28</v>
      </c>
      <c r="D181" t="s">
        <v>700</v>
      </c>
      <c r="E181" t="s">
        <v>334</v>
      </c>
      <c r="F181" t="s">
        <v>335</v>
      </c>
      <c r="G181" t="s">
        <v>1119</v>
      </c>
    </row>
    <row r="182" spans="1:7" x14ac:dyDescent="0.3">
      <c r="A182" t="s">
        <v>1434</v>
      </c>
      <c r="B182" t="s">
        <v>60</v>
      </c>
      <c r="C182" t="s">
        <v>61</v>
      </c>
      <c r="D182" t="s">
        <v>1123</v>
      </c>
      <c r="E182" t="s">
        <v>267</v>
      </c>
      <c r="F182" t="s">
        <v>336</v>
      </c>
      <c r="G182" t="s">
        <v>1121</v>
      </c>
    </row>
    <row r="183" spans="1:7" x14ac:dyDescent="0.3">
      <c r="A183" t="s">
        <v>1435</v>
      </c>
      <c r="B183" t="s">
        <v>93</v>
      </c>
      <c r="C183" t="s">
        <v>57</v>
      </c>
      <c r="D183" t="s">
        <v>1123</v>
      </c>
      <c r="E183" t="s">
        <v>226</v>
      </c>
      <c r="F183" t="s">
        <v>270</v>
      </c>
      <c r="G183" t="s">
        <v>1122</v>
      </c>
    </row>
    <row r="184" spans="1:7" x14ac:dyDescent="0.3">
      <c r="A184" t="s">
        <v>1436</v>
      </c>
      <c r="B184" t="s">
        <v>27</v>
      </c>
      <c r="C184" t="s">
        <v>28</v>
      </c>
      <c r="D184" t="s">
        <v>1121</v>
      </c>
      <c r="E184" t="s">
        <v>1204</v>
      </c>
      <c r="F184" t="s">
        <v>272</v>
      </c>
      <c r="G184" t="s">
        <v>1119</v>
      </c>
    </row>
    <row r="185" spans="1:7" x14ac:dyDescent="0.3">
      <c r="A185" t="s">
        <v>1128</v>
      </c>
      <c r="B185" t="s">
        <v>41</v>
      </c>
      <c r="C185" t="s">
        <v>73</v>
      </c>
      <c r="D185" t="s">
        <v>1120</v>
      </c>
      <c r="E185" t="s">
        <v>1181</v>
      </c>
      <c r="F185" t="s">
        <v>337</v>
      </c>
      <c r="G185" t="s">
        <v>1122</v>
      </c>
    </row>
    <row r="186" spans="1:7" x14ac:dyDescent="0.3">
      <c r="A186" t="s">
        <v>1437</v>
      </c>
      <c r="B186" t="s">
        <v>49</v>
      </c>
      <c r="C186" t="s">
        <v>50</v>
      </c>
      <c r="D186" t="s">
        <v>1118</v>
      </c>
      <c r="E186" t="s">
        <v>1177</v>
      </c>
      <c r="F186" t="s">
        <v>1205</v>
      </c>
      <c r="G186" t="s">
        <v>1119</v>
      </c>
    </row>
    <row r="187" spans="1:7" x14ac:dyDescent="0.3">
      <c r="A187" t="s">
        <v>1438</v>
      </c>
      <c r="B187" t="s">
        <v>49</v>
      </c>
      <c r="C187" t="s">
        <v>52</v>
      </c>
      <c r="D187" t="s">
        <v>1118</v>
      </c>
      <c r="E187" t="s">
        <v>338</v>
      </c>
      <c r="F187" t="s">
        <v>339</v>
      </c>
      <c r="G187" t="s">
        <v>1118</v>
      </c>
    </row>
    <row r="188" spans="1:7" x14ac:dyDescent="0.3">
      <c r="A188" t="s">
        <v>1439</v>
      </c>
      <c r="B188" t="s">
        <v>49</v>
      </c>
      <c r="C188" t="s">
        <v>52</v>
      </c>
      <c r="D188" t="s">
        <v>1123</v>
      </c>
      <c r="E188" t="s">
        <v>141</v>
      </c>
      <c r="F188" t="s">
        <v>340</v>
      </c>
      <c r="G188" t="s">
        <v>1118</v>
      </c>
    </row>
    <row r="189" spans="1:7" x14ac:dyDescent="0.3">
      <c r="A189" t="s">
        <v>1440</v>
      </c>
      <c r="B189" t="s">
        <v>341</v>
      </c>
      <c r="C189" t="s">
        <v>52</v>
      </c>
      <c r="D189" t="s">
        <v>1120</v>
      </c>
      <c r="E189" t="s">
        <v>342</v>
      </c>
      <c r="F189" t="s">
        <v>343</v>
      </c>
      <c r="G189" t="s">
        <v>1121</v>
      </c>
    </row>
    <row r="190" spans="1:7" x14ac:dyDescent="0.3">
      <c r="A190" t="s">
        <v>1441</v>
      </c>
      <c r="B190" t="s">
        <v>312</v>
      </c>
      <c r="C190" t="s">
        <v>84</v>
      </c>
      <c r="D190" t="s">
        <v>1123</v>
      </c>
      <c r="E190" t="s">
        <v>344</v>
      </c>
      <c r="F190" t="s">
        <v>345</v>
      </c>
      <c r="G190" t="s">
        <v>1122</v>
      </c>
    </row>
    <row r="191" spans="1:7" x14ac:dyDescent="0.3">
      <c r="A191" t="s">
        <v>1337</v>
      </c>
      <c r="B191" t="s">
        <v>108</v>
      </c>
      <c r="C191" t="s">
        <v>169</v>
      </c>
      <c r="D191" t="s">
        <v>700</v>
      </c>
      <c r="E191" t="s">
        <v>346</v>
      </c>
      <c r="F191" t="s">
        <v>347</v>
      </c>
      <c r="G191" t="s">
        <v>1122</v>
      </c>
    </row>
    <row r="192" spans="1:7" x14ac:dyDescent="0.3">
      <c r="A192" t="s">
        <v>1442</v>
      </c>
      <c r="B192" t="s">
        <v>27</v>
      </c>
      <c r="C192" t="s">
        <v>34</v>
      </c>
      <c r="D192" t="s">
        <v>1120</v>
      </c>
      <c r="E192" t="s">
        <v>1206</v>
      </c>
      <c r="F192" t="s">
        <v>348</v>
      </c>
      <c r="G192" t="s">
        <v>1119</v>
      </c>
    </row>
    <row r="193" spans="1:7" x14ac:dyDescent="0.3">
      <c r="A193" t="s">
        <v>1443</v>
      </c>
      <c r="B193" t="s">
        <v>60</v>
      </c>
      <c r="C193" t="s">
        <v>69</v>
      </c>
      <c r="D193" t="s">
        <v>1118</v>
      </c>
      <c r="E193" t="s">
        <v>349</v>
      </c>
      <c r="F193" t="s">
        <v>350</v>
      </c>
      <c r="G193" t="s">
        <v>1123</v>
      </c>
    </row>
    <row r="194" spans="1:7" x14ac:dyDescent="0.3">
      <c r="A194" t="s">
        <v>1444</v>
      </c>
      <c r="B194" t="s">
        <v>41</v>
      </c>
      <c r="C194" t="s">
        <v>42</v>
      </c>
      <c r="D194" t="s">
        <v>1123</v>
      </c>
      <c r="E194" t="s">
        <v>351</v>
      </c>
      <c r="F194" t="s">
        <v>352</v>
      </c>
      <c r="G194" t="s">
        <v>1119</v>
      </c>
    </row>
    <row r="195" spans="1:7" x14ac:dyDescent="0.3">
      <c r="A195" t="s">
        <v>1312</v>
      </c>
      <c r="B195" t="s">
        <v>136</v>
      </c>
      <c r="C195" t="s">
        <v>77</v>
      </c>
      <c r="D195" t="s">
        <v>1123</v>
      </c>
      <c r="E195" t="s">
        <v>353</v>
      </c>
      <c r="F195" t="s">
        <v>190</v>
      </c>
      <c r="G195" t="s">
        <v>1121</v>
      </c>
    </row>
    <row r="196" spans="1:7" x14ac:dyDescent="0.3">
      <c r="A196" t="s">
        <v>1445</v>
      </c>
      <c r="B196" t="s">
        <v>76</v>
      </c>
      <c r="C196" t="s">
        <v>77</v>
      </c>
      <c r="D196" t="s">
        <v>1120</v>
      </c>
      <c r="E196" t="s">
        <v>354</v>
      </c>
      <c r="F196" t="s">
        <v>355</v>
      </c>
      <c r="G196" t="s">
        <v>1122</v>
      </c>
    </row>
    <row r="197" spans="1:7" x14ac:dyDescent="0.3">
      <c r="A197" t="s">
        <v>1446</v>
      </c>
      <c r="B197" t="s">
        <v>76</v>
      </c>
      <c r="C197" t="s">
        <v>84</v>
      </c>
      <c r="D197" t="s">
        <v>700</v>
      </c>
      <c r="E197" t="s">
        <v>356</v>
      </c>
      <c r="F197" t="s">
        <v>357</v>
      </c>
      <c r="G197" t="s">
        <v>1122</v>
      </c>
    </row>
    <row r="198" spans="1:7" x14ac:dyDescent="0.3">
      <c r="A198" t="s">
        <v>1429</v>
      </c>
      <c r="B198" t="s">
        <v>49</v>
      </c>
      <c r="C198" t="s">
        <v>52</v>
      </c>
      <c r="D198" t="s">
        <v>1123</v>
      </c>
      <c r="E198" t="s">
        <v>134</v>
      </c>
      <c r="F198" t="s">
        <v>358</v>
      </c>
      <c r="G198" t="s">
        <v>1120</v>
      </c>
    </row>
    <row r="199" spans="1:7" x14ac:dyDescent="0.3">
      <c r="A199" t="s">
        <v>1300</v>
      </c>
      <c r="B199" t="s">
        <v>27</v>
      </c>
      <c r="C199" t="s">
        <v>28</v>
      </c>
      <c r="D199" t="s">
        <v>1120</v>
      </c>
      <c r="E199" t="s">
        <v>359</v>
      </c>
      <c r="F199" t="s">
        <v>360</v>
      </c>
      <c r="G199" t="s">
        <v>1122</v>
      </c>
    </row>
    <row r="200" spans="1:7" x14ac:dyDescent="0.3">
      <c r="A200" t="s">
        <v>1129</v>
      </c>
      <c r="B200" t="s">
        <v>108</v>
      </c>
      <c r="C200" t="s">
        <v>109</v>
      </c>
      <c r="D200" t="s">
        <v>1123</v>
      </c>
      <c r="E200" t="s">
        <v>361</v>
      </c>
      <c r="F200" t="s">
        <v>362</v>
      </c>
      <c r="G200" t="s">
        <v>1122</v>
      </c>
    </row>
    <row r="201" spans="1:7" x14ac:dyDescent="0.3">
      <c r="A201" t="s">
        <v>1447</v>
      </c>
      <c r="B201" t="s">
        <v>27</v>
      </c>
      <c r="C201" t="s">
        <v>38</v>
      </c>
      <c r="D201" t="s">
        <v>1118</v>
      </c>
      <c r="E201" t="s">
        <v>1183</v>
      </c>
      <c r="F201" t="s">
        <v>363</v>
      </c>
      <c r="G201" t="s">
        <v>1122</v>
      </c>
    </row>
    <row r="202" spans="1:7" x14ac:dyDescent="0.3">
      <c r="A202" t="s">
        <v>1436</v>
      </c>
      <c r="B202" t="s">
        <v>76</v>
      </c>
      <c r="C202" t="s">
        <v>84</v>
      </c>
      <c r="D202" t="s">
        <v>1123</v>
      </c>
      <c r="E202" t="s">
        <v>283</v>
      </c>
      <c r="F202" t="s">
        <v>364</v>
      </c>
      <c r="G202" t="s">
        <v>1118</v>
      </c>
    </row>
    <row r="203" spans="1:7" x14ac:dyDescent="0.3">
      <c r="A203" t="s">
        <v>1384</v>
      </c>
      <c r="B203" t="s">
        <v>27</v>
      </c>
      <c r="C203" t="s">
        <v>28</v>
      </c>
      <c r="D203" t="s">
        <v>700</v>
      </c>
      <c r="E203" t="s">
        <v>365</v>
      </c>
      <c r="F203" t="s">
        <v>366</v>
      </c>
      <c r="G203" t="s">
        <v>1118</v>
      </c>
    </row>
    <row r="204" spans="1:7" x14ac:dyDescent="0.3">
      <c r="A204" t="s">
        <v>1335</v>
      </c>
      <c r="B204" t="s">
        <v>41</v>
      </c>
      <c r="C204" t="s">
        <v>42</v>
      </c>
      <c r="D204" t="s">
        <v>1118</v>
      </c>
      <c r="E204" t="s">
        <v>367</v>
      </c>
      <c r="F204" t="s">
        <v>294</v>
      </c>
      <c r="G204" t="s">
        <v>1120</v>
      </c>
    </row>
    <row r="205" spans="1:7" x14ac:dyDescent="0.3">
      <c r="A205" t="s">
        <v>1380</v>
      </c>
      <c r="B205" t="s">
        <v>76</v>
      </c>
      <c r="C205" t="s">
        <v>77</v>
      </c>
      <c r="D205" t="s">
        <v>1121</v>
      </c>
      <c r="E205" t="s">
        <v>104</v>
      </c>
      <c r="F205" t="s">
        <v>1207</v>
      </c>
      <c r="G205" t="s">
        <v>1122</v>
      </c>
    </row>
    <row r="206" spans="1:7" x14ac:dyDescent="0.3">
      <c r="A206" t="s">
        <v>1448</v>
      </c>
      <c r="B206" t="s">
        <v>108</v>
      </c>
      <c r="C206" t="s">
        <v>109</v>
      </c>
      <c r="D206" t="s">
        <v>1118</v>
      </c>
      <c r="E206" t="s">
        <v>368</v>
      </c>
      <c r="F206" t="s">
        <v>369</v>
      </c>
      <c r="G206" t="s">
        <v>1120</v>
      </c>
    </row>
    <row r="207" spans="1:7" x14ac:dyDescent="0.3">
      <c r="A207" t="s">
        <v>1419</v>
      </c>
      <c r="B207" t="s">
        <v>89</v>
      </c>
      <c r="C207" t="s">
        <v>131</v>
      </c>
      <c r="D207" t="s">
        <v>1121</v>
      </c>
      <c r="E207" t="s">
        <v>370</v>
      </c>
      <c r="F207" t="s">
        <v>371</v>
      </c>
      <c r="G207" t="s">
        <v>66</v>
      </c>
    </row>
    <row r="208" spans="1:7" x14ac:dyDescent="0.3">
      <c r="A208" t="s">
        <v>1449</v>
      </c>
      <c r="B208" t="s">
        <v>372</v>
      </c>
      <c r="C208" t="s">
        <v>131</v>
      </c>
      <c r="D208" t="s">
        <v>700</v>
      </c>
      <c r="E208" t="s">
        <v>373</v>
      </c>
      <c r="F208" t="s">
        <v>374</v>
      </c>
      <c r="G208" t="s">
        <v>1118</v>
      </c>
    </row>
    <row r="209" spans="1:7" x14ac:dyDescent="0.3">
      <c r="A209" t="s">
        <v>1450</v>
      </c>
      <c r="B209" t="s">
        <v>76</v>
      </c>
      <c r="C209" t="s">
        <v>80</v>
      </c>
      <c r="D209" t="s">
        <v>1118</v>
      </c>
      <c r="E209" t="s">
        <v>375</v>
      </c>
      <c r="F209" t="s">
        <v>1208</v>
      </c>
      <c r="G209" t="s">
        <v>1122</v>
      </c>
    </row>
    <row r="210" spans="1:7" x14ac:dyDescent="0.3">
      <c r="A210" t="s">
        <v>1421</v>
      </c>
      <c r="B210" t="s">
        <v>41</v>
      </c>
      <c r="C210" t="s">
        <v>73</v>
      </c>
      <c r="D210" t="s">
        <v>1123</v>
      </c>
      <c r="E210" t="s">
        <v>376</v>
      </c>
      <c r="F210" t="s">
        <v>1209</v>
      </c>
      <c r="G210" t="s">
        <v>1122</v>
      </c>
    </row>
    <row r="211" spans="1:7" x14ac:dyDescent="0.3">
      <c r="A211" t="s">
        <v>1442</v>
      </c>
      <c r="B211" t="s">
        <v>108</v>
      </c>
      <c r="C211" t="s">
        <v>169</v>
      </c>
      <c r="D211" t="s">
        <v>700</v>
      </c>
      <c r="E211" t="s">
        <v>1210</v>
      </c>
      <c r="F211" t="s">
        <v>377</v>
      </c>
      <c r="G211" t="s">
        <v>1121</v>
      </c>
    </row>
    <row r="212" spans="1:7" x14ac:dyDescent="0.3">
      <c r="A212" t="s">
        <v>1451</v>
      </c>
      <c r="B212" t="s">
        <v>49</v>
      </c>
      <c r="C212" t="s">
        <v>52</v>
      </c>
      <c r="D212" t="s">
        <v>700</v>
      </c>
      <c r="E212" t="s">
        <v>378</v>
      </c>
      <c r="F212" t="s">
        <v>379</v>
      </c>
      <c r="G212" t="s">
        <v>1121</v>
      </c>
    </row>
    <row r="213" spans="1:7" x14ac:dyDescent="0.3">
      <c r="A213" t="s">
        <v>1360</v>
      </c>
      <c r="B213" t="s">
        <v>41</v>
      </c>
      <c r="C213" t="s">
        <v>46</v>
      </c>
      <c r="D213" t="s">
        <v>1121</v>
      </c>
      <c r="E213" t="s">
        <v>380</v>
      </c>
      <c r="F213" t="s">
        <v>381</v>
      </c>
      <c r="G213" t="s">
        <v>1118</v>
      </c>
    </row>
    <row r="214" spans="1:7" x14ac:dyDescent="0.3">
      <c r="A214" t="s">
        <v>1452</v>
      </c>
      <c r="B214" t="s">
        <v>60</v>
      </c>
      <c r="C214" t="s">
        <v>69</v>
      </c>
      <c r="D214" t="s">
        <v>700</v>
      </c>
      <c r="E214" t="s">
        <v>382</v>
      </c>
      <c r="F214" t="s">
        <v>383</v>
      </c>
      <c r="G214" t="s">
        <v>66</v>
      </c>
    </row>
    <row r="215" spans="1:7" x14ac:dyDescent="0.3">
      <c r="A215" t="s">
        <v>1130</v>
      </c>
      <c r="B215" t="s">
        <v>108</v>
      </c>
      <c r="C215" t="s">
        <v>109</v>
      </c>
      <c r="D215" t="s">
        <v>700</v>
      </c>
      <c r="E215" t="s">
        <v>384</v>
      </c>
      <c r="F215" t="s">
        <v>385</v>
      </c>
      <c r="G215" t="s">
        <v>66</v>
      </c>
    </row>
    <row r="216" spans="1:7" x14ac:dyDescent="0.3">
      <c r="A216" t="s">
        <v>1392</v>
      </c>
      <c r="B216" t="s">
        <v>93</v>
      </c>
      <c r="C216" t="s">
        <v>101</v>
      </c>
      <c r="D216" t="s">
        <v>1120</v>
      </c>
      <c r="E216" t="s">
        <v>375</v>
      </c>
      <c r="F216" t="s">
        <v>386</v>
      </c>
      <c r="G216" t="s">
        <v>1120</v>
      </c>
    </row>
    <row r="217" spans="1:7" x14ac:dyDescent="0.3">
      <c r="A217" t="s">
        <v>1436</v>
      </c>
      <c r="B217" t="s">
        <v>387</v>
      </c>
      <c r="C217" t="s">
        <v>64</v>
      </c>
      <c r="D217" t="s">
        <v>1123</v>
      </c>
      <c r="E217" t="s">
        <v>91</v>
      </c>
      <c r="F217" t="s">
        <v>388</v>
      </c>
      <c r="G217" t="s">
        <v>1122</v>
      </c>
    </row>
    <row r="218" spans="1:7" x14ac:dyDescent="0.3">
      <c r="A218" t="s">
        <v>1404</v>
      </c>
      <c r="B218" t="s">
        <v>27</v>
      </c>
      <c r="C218" t="s">
        <v>34</v>
      </c>
      <c r="D218" t="s">
        <v>1120</v>
      </c>
      <c r="E218" t="s">
        <v>389</v>
      </c>
      <c r="F218" t="s">
        <v>390</v>
      </c>
      <c r="G218" t="s">
        <v>1122</v>
      </c>
    </row>
    <row r="219" spans="1:7" x14ac:dyDescent="0.3">
      <c r="A219" t="s">
        <v>1355</v>
      </c>
      <c r="B219" t="s">
        <v>89</v>
      </c>
      <c r="C219" t="s">
        <v>90</v>
      </c>
      <c r="D219" t="s">
        <v>1120</v>
      </c>
      <c r="E219" t="s">
        <v>391</v>
      </c>
      <c r="F219" t="s">
        <v>392</v>
      </c>
      <c r="G219" t="s">
        <v>1119</v>
      </c>
    </row>
    <row r="220" spans="1:7" x14ac:dyDescent="0.3">
      <c r="A220" t="s">
        <v>1453</v>
      </c>
      <c r="B220" t="s">
        <v>108</v>
      </c>
      <c r="C220" t="s">
        <v>169</v>
      </c>
      <c r="D220" t="s">
        <v>1123</v>
      </c>
      <c r="E220" t="s">
        <v>393</v>
      </c>
      <c r="F220" t="s">
        <v>394</v>
      </c>
      <c r="G220" t="s">
        <v>1119</v>
      </c>
    </row>
    <row r="221" spans="1:7" x14ac:dyDescent="0.3">
      <c r="A221" t="s">
        <v>1454</v>
      </c>
      <c r="B221" t="s">
        <v>93</v>
      </c>
      <c r="C221" t="s">
        <v>101</v>
      </c>
      <c r="D221" t="s">
        <v>1123</v>
      </c>
      <c r="E221" t="s">
        <v>207</v>
      </c>
      <c r="F221" t="s">
        <v>362</v>
      </c>
      <c r="G221" t="s">
        <v>1118</v>
      </c>
    </row>
    <row r="222" spans="1:7" x14ac:dyDescent="0.3">
      <c r="A222" t="s">
        <v>1455</v>
      </c>
      <c r="B222" t="s">
        <v>93</v>
      </c>
      <c r="C222" t="s">
        <v>101</v>
      </c>
      <c r="D222" t="s">
        <v>1118</v>
      </c>
      <c r="E222" t="s">
        <v>338</v>
      </c>
      <c r="F222" t="s">
        <v>395</v>
      </c>
      <c r="G222" t="s">
        <v>1123</v>
      </c>
    </row>
    <row r="223" spans="1:7" x14ac:dyDescent="0.3">
      <c r="A223" t="s">
        <v>1456</v>
      </c>
      <c r="B223" t="s">
        <v>189</v>
      </c>
      <c r="C223" t="s">
        <v>52</v>
      </c>
      <c r="D223" t="s">
        <v>1123</v>
      </c>
      <c r="E223" t="s">
        <v>54</v>
      </c>
      <c r="F223" t="s">
        <v>396</v>
      </c>
      <c r="G223" t="s">
        <v>1120</v>
      </c>
    </row>
    <row r="224" spans="1:7" x14ac:dyDescent="0.3">
      <c r="A224" t="s">
        <v>1457</v>
      </c>
      <c r="B224" t="s">
        <v>89</v>
      </c>
      <c r="C224" t="s">
        <v>90</v>
      </c>
      <c r="D224" t="s">
        <v>700</v>
      </c>
      <c r="E224" t="s">
        <v>397</v>
      </c>
      <c r="F224" t="s">
        <v>79</v>
      </c>
      <c r="G224" t="s">
        <v>1119</v>
      </c>
    </row>
    <row r="225" spans="1:7" x14ac:dyDescent="0.3">
      <c r="A225" t="s">
        <v>1376</v>
      </c>
      <c r="B225" t="s">
        <v>41</v>
      </c>
      <c r="C225" t="s">
        <v>42</v>
      </c>
      <c r="D225" t="s">
        <v>1123</v>
      </c>
      <c r="E225" t="s">
        <v>274</v>
      </c>
      <c r="F225" t="s">
        <v>398</v>
      </c>
      <c r="G225" t="s">
        <v>1118</v>
      </c>
    </row>
    <row r="226" spans="1:7" x14ac:dyDescent="0.3">
      <c r="A226" t="s">
        <v>1458</v>
      </c>
      <c r="B226" t="s">
        <v>89</v>
      </c>
      <c r="C226" t="s">
        <v>90</v>
      </c>
      <c r="D226" t="s">
        <v>1121</v>
      </c>
      <c r="E226" t="s">
        <v>229</v>
      </c>
      <c r="F226" t="s">
        <v>162</v>
      </c>
      <c r="G226" t="s">
        <v>1118</v>
      </c>
    </row>
    <row r="227" spans="1:7" x14ac:dyDescent="0.3">
      <c r="A227" t="s">
        <v>1459</v>
      </c>
      <c r="B227" t="s">
        <v>27</v>
      </c>
      <c r="C227" t="s">
        <v>34</v>
      </c>
      <c r="D227" t="s">
        <v>1123</v>
      </c>
      <c r="E227" t="s">
        <v>399</v>
      </c>
      <c r="F227" t="s">
        <v>400</v>
      </c>
      <c r="G227" t="s">
        <v>1122</v>
      </c>
    </row>
    <row r="228" spans="1:7" x14ac:dyDescent="0.3">
      <c r="A228" t="s">
        <v>1131</v>
      </c>
      <c r="B228" t="s">
        <v>341</v>
      </c>
      <c r="C228" t="s">
        <v>52</v>
      </c>
      <c r="D228" t="s">
        <v>1121</v>
      </c>
      <c r="E228" t="s">
        <v>181</v>
      </c>
      <c r="F228" t="s">
        <v>82</v>
      </c>
      <c r="G228" t="s">
        <v>1118</v>
      </c>
    </row>
    <row r="229" spans="1:7" x14ac:dyDescent="0.3">
      <c r="A229" t="s">
        <v>1460</v>
      </c>
      <c r="B229" t="s">
        <v>93</v>
      </c>
      <c r="C229" t="s">
        <v>101</v>
      </c>
      <c r="D229" t="s">
        <v>1120</v>
      </c>
      <c r="E229" t="s">
        <v>238</v>
      </c>
      <c r="F229" t="s">
        <v>401</v>
      </c>
      <c r="G229" t="s">
        <v>1118</v>
      </c>
    </row>
    <row r="230" spans="1:7" x14ac:dyDescent="0.3">
      <c r="A230" t="s">
        <v>1450</v>
      </c>
      <c r="B230" t="s">
        <v>93</v>
      </c>
      <c r="C230" t="s">
        <v>57</v>
      </c>
      <c r="D230" t="s">
        <v>700</v>
      </c>
      <c r="E230" t="s">
        <v>51</v>
      </c>
      <c r="F230" t="s">
        <v>402</v>
      </c>
      <c r="G230" t="s">
        <v>1118</v>
      </c>
    </row>
    <row r="231" spans="1:7" x14ac:dyDescent="0.3">
      <c r="A231" t="s">
        <v>1293</v>
      </c>
      <c r="B231" t="s">
        <v>49</v>
      </c>
      <c r="C231" t="s">
        <v>52</v>
      </c>
      <c r="D231" t="s">
        <v>1121</v>
      </c>
      <c r="E231" t="s">
        <v>224</v>
      </c>
      <c r="F231" t="s">
        <v>403</v>
      </c>
      <c r="G231" t="s">
        <v>1122</v>
      </c>
    </row>
    <row r="232" spans="1:7" x14ac:dyDescent="0.3">
      <c r="A232" t="s">
        <v>1309</v>
      </c>
      <c r="B232" t="s">
        <v>93</v>
      </c>
      <c r="C232" t="s">
        <v>57</v>
      </c>
      <c r="D232" t="s">
        <v>1120</v>
      </c>
      <c r="E232" t="s">
        <v>153</v>
      </c>
      <c r="F232" t="s">
        <v>404</v>
      </c>
      <c r="G232" t="s">
        <v>1121</v>
      </c>
    </row>
    <row r="233" spans="1:7" x14ac:dyDescent="0.3">
      <c r="A233" t="s">
        <v>1461</v>
      </c>
      <c r="B233" t="s">
        <v>93</v>
      </c>
      <c r="C233" t="s">
        <v>57</v>
      </c>
      <c r="D233" t="s">
        <v>1120</v>
      </c>
      <c r="E233" t="s">
        <v>238</v>
      </c>
      <c r="F233" t="s">
        <v>405</v>
      </c>
      <c r="G233" t="s">
        <v>1121</v>
      </c>
    </row>
    <row r="234" spans="1:7" x14ac:dyDescent="0.3">
      <c r="A234" t="s">
        <v>1132</v>
      </c>
      <c r="B234" t="s">
        <v>108</v>
      </c>
      <c r="C234" t="s">
        <v>208</v>
      </c>
      <c r="D234" t="s">
        <v>1121</v>
      </c>
      <c r="E234" t="s">
        <v>406</v>
      </c>
      <c r="F234" t="s">
        <v>407</v>
      </c>
      <c r="G234" t="s">
        <v>1122</v>
      </c>
    </row>
    <row r="235" spans="1:7" x14ac:dyDescent="0.3">
      <c r="A235" t="s">
        <v>1462</v>
      </c>
      <c r="B235" t="s">
        <v>93</v>
      </c>
      <c r="C235" t="s">
        <v>101</v>
      </c>
      <c r="D235" t="s">
        <v>1123</v>
      </c>
      <c r="E235" t="s">
        <v>1211</v>
      </c>
      <c r="F235" t="s">
        <v>408</v>
      </c>
      <c r="G235" t="s">
        <v>1118</v>
      </c>
    </row>
    <row r="236" spans="1:7" x14ac:dyDescent="0.3">
      <c r="A236" t="s">
        <v>1463</v>
      </c>
      <c r="B236" t="s">
        <v>41</v>
      </c>
      <c r="C236" t="s">
        <v>42</v>
      </c>
      <c r="D236" t="s">
        <v>1121</v>
      </c>
      <c r="E236" t="s">
        <v>51</v>
      </c>
      <c r="F236" t="s">
        <v>1212</v>
      </c>
      <c r="G236" t="s">
        <v>1118</v>
      </c>
    </row>
    <row r="237" spans="1:7" x14ac:dyDescent="0.3">
      <c r="A237" t="s">
        <v>1464</v>
      </c>
      <c r="B237" t="s">
        <v>409</v>
      </c>
      <c r="C237" t="s">
        <v>169</v>
      </c>
      <c r="D237" t="s">
        <v>1118</v>
      </c>
      <c r="E237" t="s">
        <v>375</v>
      </c>
      <c r="F237" t="s">
        <v>410</v>
      </c>
      <c r="G237" t="s">
        <v>1119</v>
      </c>
    </row>
    <row r="238" spans="1:7" x14ac:dyDescent="0.3">
      <c r="A238" t="s">
        <v>1465</v>
      </c>
      <c r="B238" t="s">
        <v>60</v>
      </c>
      <c r="C238" t="s">
        <v>69</v>
      </c>
      <c r="D238" t="s">
        <v>1118</v>
      </c>
      <c r="E238" t="s">
        <v>106</v>
      </c>
      <c r="F238" t="s">
        <v>411</v>
      </c>
      <c r="G238" t="s">
        <v>1120</v>
      </c>
    </row>
    <row r="239" spans="1:7" x14ac:dyDescent="0.3">
      <c r="A239" t="s">
        <v>1466</v>
      </c>
      <c r="B239" t="s">
        <v>60</v>
      </c>
      <c r="C239" t="s">
        <v>61</v>
      </c>
      <c r="D239" t="s">
        <v>1123</v>
      </c>
      <c r="E239" t="s">
        <v>151</v>
      </c>
      <c r="F239" t="s">
        <v>412</v>
      </c>
      <c r="G239" t="s">
        <v>1123</v>
      </c>
    </row>
    <row r="240" spans="1:7" x14ac:dyDescent="0.3">
      <c r="A240" t="s">
        <v>1351</v>
      </c>
      <c r="B240" t="s">
        <v>108</v>
      </c>
      <c r="C240" t="s">
        <v>169</v>
      </c>
      <c r="D240" t="s">
        <v>700</v>
      </c>
      <c r="E240" t="s">
        <v>413</v>
      </c>
      <c r="F240" t="s">
        <v>414</v>
      </c>
      <c r="G240" t="s">
        <v>1122</v>
      </c>
    </row>
    <row r="241" spans="1:7" x14ac:dyDescent="0.3">
      <c r="A241" t="s">
        <v>1425</v>
      </c>
      <c r="B241" t="s">
        <v>76</v>
      </c>
      <c r="C241" t="s">
        <v>84</v>
      </c>
      <c r="D241" t="s">
        <v>1123</v>
      </c>
      <c r="E241" t="s">
        <v>415</v>
      </c>
      <c r="F241" t="s">
        <v>1213</v>
      </c>
      <c r="G241" t="s">
        <v>1119</v>
      </c>
    </row>
    <row r="242" spans="1:7" x14ac:dyDescent="0.3">
      <c r="A242" t="s">
        <v>1332</v>
      </c>
      <c r="B242" t="s">
        <v>41</v>
      </c>
      <c r="C242" t="s">
        <v>73</v>
      </c>
      <c r="D242" t="s">
        <v>1118</v>
      </c>
      <c r="E242" t="s">
        <v>416</v>
      </c>
      <c r="F242" t="s">
        <v>417</v>
      </c>
      <c r="G242" t="s">
        <v>1122</v>
      </c>
    </row>
    <row r="243" spans="1:7" x14ac:dyDescent="0.3">
      <c r="A243" t="s">
        <v>1427</v>
      </c>
      <c r="B243" t="s">
        <v>113</v>
      </c>
      <c r="C243" t="s">
        <v>28</v>
      </c>
      <c r="D243" t="s">
        <v>1121</v>
      </c>
      <c r="E243" t="s">
        <v>418</v>
      </c>
      <c r="F243" t="s">
        <v>329</v>
      </c>
      <c r="G243" t="s">
        <v>1122</v>
      </c>
    </row>
    <row r="244" spans="1:7" x14ac:dyDescent="0.3">
      <c r="A244" t="s">
        <v>1467</v>
      </c>
      <c r="B244" t="s">
        <v>1147</v>
      </c>
      <c r="C244" t="s">
        <v>57</v>
      </c>
      <c r="D244" t="s">
        <v>1120</v>
      </c>
      <c r="E244" t="s">
        <v>640</v>
      </c>
      <c r="F244" t="s">
        <v>1214</v>
      </c>
      <c r="G244" t="s">
        <v>1120</v>
      </c>
    </row>
    <row r="245" spans="1:7" x14ac:dyDescent="0.3">
      <c r="A245" t="s">
        <v>1468</v>
      </c>
      <c r="B245" t="s">
        <v>60</v>
      </c>
      <c r="C245" t="s">
        <v>61</v>
      </c>
      <c r="D245" t="s">
        <v>700</v>
      </c>
      <c r="E245" t="s">
        <v>226</v>
      </c>
      <c r="F245" t="s">
        <v>419</v>
      </c>
      <c r="G245" t="s">
        <v>853</v>
      </c>
    </row>
    <row r="246" spans="1:7" x14ac:dyDescent="0.3">
      <c r="A246" t="s">
        <v>1469</v>
      </c>
      <c r="B246" t="s">
        <v>108</v>
      </c>
      <c r="C246" t="s">
        <v>169</v>
      </c>
      <c r="D246" t="s">
        <v>1121</v>
      </c>
      <c r="E246" t="s">
        <v>1196</v>
      </c>
      <c r="F246" t="s">
        <v>420</v>
      </c>
      <c r="G246" t="s">
        <v>1119</v>
      </c>
    </row>
    <row r="247" spans="1:7" x14ac:dyDescent="0.3">
      <c r="A247" t="s">
        <v>1315</v>
      </c>
      <c r="B247" t="s">
        <v>108</v>
      </c>
      <c r="C247" t="s">
        <v>109</v>
      </c>
      <c r="D247" t="s">
        <v>700</v>
      </c>
      <c r="E247" t="s">
        <v>421</v>
      </c>
      <c r="F247" t="s">
        <v>422</v>
      </c>
      <c r="G247" t="s">
        <v>1122</v>
      </c>
    </row>
    <row r="248" spans="1:7" x14ac:dyDescent="0.3">
      <c r="A248" t="s">
        <v>1417</v>
      </c>
      <c r="B248" t="s">
        <v>41</v>
      </c>
      <c r="C248" t="s">
        <v>42</v>
      </c>
      <c r="D248" t="s">
        <v>1120</v>
      </c>
      <c r="E248" t="s">
        <v>423</v>
      </c>
      <c r="F248" t="s">
        <v>424</v>
      </c>
      <c r="G248" t="s">
        <v>1122</v>
      </c>
    </row>
    <row r="249" spans="1:7" x14ac:dyDescent="0.3">
      <c r="A249" t="s">
        <v>1470</v>
      </c>
      <c r="B249" t="s">
        <v>27</v>
      </c>
      <c r="C249" t="s">
        <v>34</v>
      </c>
      <c r="D249" t="s">
        <v>1121</v>
      </c>
      <c r="E249" t="s">
        <v>425</v>
      </c>
      <c r="F249" t="s">
        <v>426</v>
      </c>
      <c r="G249" t="s">
        <v>1122</v>
      </c>
    </row>
    <row r="250" spans="1:7" x14ac:dyDescent="0.3">
      <c r="A250" t="s">
        <v>1376</v>
      </c>
      <c r="B250" t="s">
        <v>41</v>
      </c>
      <c r="C250" t="s">
        <v>42</v>
      </c>
      <c r="D250" t="s">
        <v>1118</v>
      </c>
      <c r="E250" t="s">
        <v>375</v>
      </c>
      <c r="F250" t="s">
        <v>427</v>
      </c>
      <c r="G250" t="s">
        <v>1118</v>
      </c>
    </row>
    <row r="251" spans="1:7" x14ac:dyDescent="0.3">
      <c r="A251" t="s">
        <v>1471</v>
      </c>
      <c r="B251" t="s">
        <v>108</v>
      </c>
      <c r="C251" t="s">
        <v>169</v>
      </c>
      <c r="D251" t="s">
        <v>1120</v>
      </c>
      <c r="E251" t="s">
        <v>428</v>
      </c>
      <c r="F251" t="s">
        <v>1215</v>
      </c>
      <c r="G251" t="s">
        <v>1119</v>
      </c>
    </row>
    <row r="252" spans="1:7" x14ac:dyDescent="0.3">
      <c r="A252" t="s">
        <v>1311</v>
      </c>
      <c r="B252" t="s">
        <v>41</v>
      </c>
      <c r="C252" t="s">
        <v>73</v>
      </c>
      <c r="D252" t="s">
        <v>700</v>
      </c>
      <c r="E252" t="s">
        <v>429</v>
      </c>
      <c r="F252" t="s">
        <v>430</v>
      </c>
      <c r="G252" t="s">
        <v>1119</v>
      </c>
    </row>
    <row r="253" spans="1:7" x14ac:dyDescent="0.3">
      <c r="A253" t="s">
        <v>1385</v>
      </c>
      <c r="B253" t="s">
        <v>89</v>
      </c>
      <c r="C253" t="s">
        <v>131</v>
      </c>
      <c r="D253" t="s">
        <v>1123</v>
      </c>
      <c r="E253" t="s">
        <v>85</v>
      </c>
      <c r="F253" t="s">
        <v>431</v>
      </c>
      <c r="G253" t="s">
        <v>1122</v>
      </c>
    </row>
    <row r="254" spans="1:7" x14ac:dyDescent="0.3">
      <c r="A254" t="s">
        <v>1340</v>
      </c>
      <c r="B254" t="s">
        <v>60</v>
      </c>
      <c r="C254" t="s">
        <v>61</v>
      </c>
      <c r="D254" t="s">
        <v>700</v>
      </c>
      <c r="E254" t="s">
        <v>1216</v>
      </c>
      <c r="F254" t="s">
        <v>432</v>
      </c>
      <c r="G254" t="s">
        <v>1122</v>
      </c>
    </row>
    <row r="255" spans="1:7" x14ac:dyDescent="0.3">
      <c r="A255" t="s">
        <v>1448</v>
      </c>
      <c r="B255" t="s">
        <v>76</v>
      </c>
      <c r="C255" t="s">
        <v>84</v>
      </c>
      <c r="D255" t="s">
        <v>1121</v>
      </c>
      <c r="E255" t="s">
        <v>370</v>
      </c>
      <c r="F255" t="s">
        <v>1217</v>
      </c>
      <c r="G255" t="s">
        <v>1119</v>
      </c>
    </row>
    <row r="256" spans="1:7" x14ac:dyDescent="0.3">
      <c r="A256" t="s">
        <v>1472</v>
      </c>
      <c r="B256" t="s">
        <v>60</v>
      </c>
      <c r="C256" t="s">
        <v>64</v>
      </c>
      <c r="D256" t="s">
        <v>700</v>
      </c>
      <c r="E256" t="s">
        <v>43</v>
      </c>
      <c r="F256" t="s">
        <v>433</v>
      </c>
      <c r="G256" t="s">
        <v>1118</v>
      </c>
    </row>
    <row r="257" spans="1:7" x14ac:dyDescent="0.3">
      <c r="A257" t="s">
        <v>1458</v>
      </c>
      <c r="B257" t="s">
        <v>108</v>
      </c>
      <c r="C257" t="s">
        <v>109</v>
      </c>
      <c r="D257" t="s">
        <v>700</v>
      </c>
      <c r="E257" t="s">
        <v>434</v>
      </c>
      <c r="F257" t="s">
        <v>335</v>
      </c>
      <c r="G257" t="s">
        <v>1122</v>
      </c>
    </row>
    <row r="258" spans="1:7" x14ac:dyDescent="0.3">
      <c r="A258" t="s">
        <v>1473</v>
      </c>
      <c r="B258" t="s">
        <v>93</v>
      </c>
      <c r="C258" t="s">
        <v>101</v>
      </c>
      <c r="D258" t="s">
        <v>1120</v>
      </c>
      <c r="E258" t="s">
        <v>291</v>
      </c>
      <c r="F258" t="s">
        <v>435</v>
      </c>
      <c r="G258" t="s">
        <v>1121</v>
      </c>
    </row>
    <row r="259" spans="1:7" x14ac:dyDescent="0.3">
      <c r="A259" t="s">
        <v>1474</v>
      </c>
      <c r="B259" t="s">
        <v>60</v>
      </c>
      <c r="C259" t="s">
        <v>69</v>
      </c>
      <c r="D259" t="s">
        <v>1121</v>
      </c>
      <c r="E259" t="s">
        <v>252</v>
      </c>
      <c r="F259" t="s">
        <v>436</v>
      </c>
      <c r="G259" t="s">
        <v>1122</v>
      </c>
    </row>
    <row r="260" spans="1:7" x14ac:dyDescent="0.3">
      <c r="A260" t="s">
        <v>1445</v>
      </c>
      <c r="B260" t="s">
        <v>168</v>
      </c>
      <c r="C260" t="s">
        <v>169</v>
      </c>
      <c r="D260" t="s">
        <v>1120</v>
      </c>
      <c r="E260" t="s">
        <v>437</v>
      </c>
      <c r="F260" t="s">
        <v>438</v>
      </c>
      <c r="G260" t="s">
        <v>1122</v>
      </c>
    </row>
    <row r="261" spans="1:7" x14ac:dyDescent="0.3">
      <c r="A261" t="s">
        <v>1360</v>
      </c>
      <c r="B261" t="s">
        <v>76</v>
      </c>
      <c r="C261" t="s">
        <v>84</v>
      </c>
      <c r="D261" t="s">
        <v>1120</v>
      </c>
      <c r="E261" t="s">
        <v>439</v>
      </c>
      <c r="F261" t="s">
        <v>245</v>
      </c>
      <c r="G261" t="s">
        <v>1119</v>
      </c>
    </row>
    <row r="262" spans="1:7" x14ac:dyDescent="0.3">
      <c r="A262" t="s">
        <v>1319</v>
      </c>
      <c r="B262" t="s">
        <v>89</v>
      </c>
      <c r="C262" t="s">
        <v>131</v>
      </c>
      <c r="D262" t="s">
        <v>700</v>
      </c>
      <c r="E262" t="s">
        <v>440</v>
      </c>
      <c r="F262" t="s">
        <v>441</v>
      </c>
      <c r="G262" t="s">
        <v>1118</v>
      </c>
    </row>
    <row r="263" spans="1:7" x14ac:dyDescent="0.3">
      <c r="A263" t="s">
        <v>1394</v>
      </c>
      <c r="B263" t="s">
        <v>93</v>
      </c>
      <c r="C263" t="s">
        <v>101</v>
      </c>
      <c r="D263" t="s">
        <v>700</v>
      </c>
      <c r="E263" t="s">
        <v>1216</v>
      </c>
      <c r="F263" t="s">
        <v>442</v>
      </c>
      <c r="G263" t="s">
        <v>1118</v>
      </c>
    </row>
    <row r="264" spans="1:7" x14ac:dyDescent="0.3">
      <c r="A264" t="s">
        <v>1400</v>
      </c>
      <c r="B264" t="s">
        <v>76</v>
      </c>
      <c r="C264" t="s">
        <v>77</v>
      </c>
      <c r="D264" t="s">
        <v>1121</v>
      </c>
      <c r="E264" t="s">
        <v>1211</v>
      </c>
      <c r="F264" t="s">
        <v>443</v>
      </c>
      <c r="G264" t="s">
        <v>1122</v>
      </c>
    </row>
    <row r="265" spans="1:7" x14ac:dyDescent="0.3">
      <c r="A265" t="s">
        <v>1336</v>
      </c>
      <c r="B265" t="s">
        <v>60</v>
      </c>
      <c r="C265" t="s">
        <v>64</v>
      </c>
      <c r="D265" t="s">
        <v>1118</v>
      </c>
      <c r="E265" t="s">
        <v>444</v>
      </c>
      <c r="F265" t="s">
        <v>445</v>
      </c>
      <c r="G265" t="s">
        <v>1123</v>
      </c>
    </row>
    <row r="266" spans="1:7" x14ac:dyDescent="0.3">
      <c r="A266" t="s">
        <v>1475</v>
      </c>
      <c r="B266" t="s">
        <v>76</v>
      </c>
      <c r="C266" t="s">
        <v>84</v>
      </c>
      <c r="D266" t="s">
        <v>1118</v>
      </c>
      <c r="E266" t="s">
        <v>148</v>
      </c>
      <c r="F266" t="s">
        <v>446</v>
      </c>
      <c r="G266" t="s">
        <v>1118</v>
      </c>
    </row>
    <row r="267" spans="1:7" x14ac:dyDescent="0.3">
      <c r="A267" t="s">
        <v>1344</v>
      </c>
      <c r="B267" t="s">
        <v>60</v>
      </c>
      <c r="C267" t="s">
        <v>64</v>
      </c>
      <c r="D267" t="s">
        <v>1121</v>
      </c>
      <c r="E267" t="s">
        <v>153</v>
      </c>
      <c r="F267" t="s">
        <v>447</v>
      </c>
      <c r="G267" t="s">
        <v>1120</v>
      </c>
    </row>
    <row r="268" spans="1:7" x14ac:dyDescent="0.3">
      <c r="A268" t="s">
        <v>1383</v>
      </c>
      <c r="B268" t="s">
        <v>89</v>
      </c>
      <c r="C268" t="s">
        <v>90</v>
      </c>
      <c r="D268" t="s">
        <v>1121</v>
      </c>
      <c r="E268" t="s">
        <v>316</v>
      </c>
      <c r="F268" t="s">
        <v>1218</v>
      </c>
      <c r="G268" t="s">
        <v>1122</v>
      </c>
    </row>
    <row r="269" spans="1:7" x14ac:dyDescent="0.3">
      <c r="A269" t="s">
        <v>1354</v>
      </c>
      <c r="B269" t="s">
        <v>108</v>
      </c>
      <c r="C269" t="s">
        <v>109</v>
      </c>
      <c r="D269" t="s">
        <v>1121</v>
      </c>
      <c r="E269" t="s">
        <v>448</v>
      </c>
      <c r="F269" t="s">
        <v>449</v>
      </c>
      <c r="G269" t="s">
        <v>1119</v>
      </c>
    </row>
    <row r="270" spans="1:7" x14ac:dyDescent="0.3">
      <c r="A270" t="s">
        <v>1476</v>
      </c>
      <c r="B270" t="s">
        <v>76</v>
      </c>
      <c r="C270" t="s">
        <v>80</v>
      </c>
      <c r="D270" t="s">
        <v>1118</v>
      </c>
      <c r="E270" t="s">
        <v>450</v>
      </c>
      <c r="F270" t="s">
        <v>225</v>
      </c>
      <c r="G270" t="s">
        <v>1122</v>
      </c>
    </row>
    <row r="271" spans="1:7" x14ac:dyDescent="0.3">
      <c r="A271" t="s">
        <v>1477</v>
      </c>
      <c r="B271" t="s">
        <v>60</v>
      </c>
      <c r="C271" t="s">
        <v>69</v>
      </c>
      <c r="D271" t="s">
        <v>1121</v>
      </c>
      <c r="E271" t="s">
        <v>148</v>
      </c>
      <c r="F271" t="s">
        <v>451</v>
      </c>
      <c r="G271" t="s">
        <v>1122</v>
      </c>
    </row>
    <row r="272" spans="1:7" x14ac:dyDescent="0.3">
      <c r="A272" t="s">
        <v>1464</v>
      </c>
      <c r="B272" t="s">
        <v>108</v>
      </c>
      <c r="C272" t="s">
        <v>208</v>
      </c>
      <c r="D272" t="s">
        <v>1121</v>
      </c>
      <c r="E272" t="s">
        <v>452</v>
      </c>
      <c r="F272" t="s">
        <v>453</v>
      </c>
      <c r="G272" t="s">
        <v>1122</v>
      </c>
    </row>
    <row r="273" spans="1:7" x14ac:dyDescent="0.3">
      <c r="A273" t="s">
        <v>1290</v>
      </c>
      <c r="B273" t="s">
        <v>49</v>
      </c>
      <c r="C273" t="s">
        <v>50</v>
      </c>
      <c r="D273" t="s">
        <v>1123</v>
      </c>
      <c r="E273" t="s">
        <v>454</v>
      </c>
      <c r="F273" t="s">
        <v>455</v>
      </c>
      <c r="G273" t="s">
        <v>1121</v>
      </c>
    </row>
    <row r="274" spans="1:7" x14ac:dyDescent="0.3">
      <c r="A274" t="s">
        <v>1377</v>
      </c>
      <c r="B274" t="s">
        <v>60</v>
      </c>
      <c r="C274" t="s">
        <v>61</v>
      </c>
      <c r="D274" t="s">
        <v>1121</v>
      </c>
      <c r="E274" t="s">
        <v>256</v>
      </c>
      <c r="F274" t="s">
        <v>456</v>
      </c>
      <c r="G274" t="s">
        <v>1123</v>
      </c>
    </row>
    <row r="275" spans="1:7" x14ac:dyDescent="0.3">
      <c r="A275" t="s">
        <v>1478</v>
      </c>
      <c r="B275" t="s">
        <v>60</v>
      </c>
      <c r="C275" t="s">
        <v>61</v>
      </c>
      <c r="D275" t="s">
        <v>1120</v>
      </c>
      <c r="E275" t="s">
        <v>229</v>
      </c>
      <c r="F275" t="s">
        <v>457</v>
      </c>
      <c r="G275" t="s">
        <v>1120</v>
      </c>
    </row>
    <row r="276" spans="1:7" x14ac:dyDescent="0.3">
      <c r="A276" t="s">
        <v>1465</v>
      </c>
      <c r="B276" t="s">
        <v>56</v>
      </c>
      <c r="C276" t="s">
        <v>101</v>
      </c>
      <c r="D276" t="s">
        <v>1121</v>
      </c>
      <c r="E276" t="s">
        <v>458</v>
      </c>
      <c r="F276" t="s">
        <v>459</v>
      </c>
      <c r="G276" t="s">
        <v>1118</v>
      </c>
    </row>
    <row r="277" spans="1:7" x14ac:dyDescent="0.3">
      <c r="A277" t="s">
        <v>1433</v>
      </c>
      <c r="B277" t="s">
        <v>27</v>
      </c>
      <c r="C277" t="s">
        <v>31</v>
      </c>
      <c r="D277" t="s">
        <v>1121</v>
      </c>
      <c r="E277" t="s">
        <v>267</v>
      </c>
      <c r="F277" t="s">
        <v>460</v>
      </c>
      <c r="G277" t="s">
        <v>1122</v>
      </c>
    </row>
    <row r="278" spans="1:7" x14ac:dyDescent="0.3">
      <c r="A278" t="s">
        <v>1455</v>
      </c>
      <c r="B278" t="s">
        <v>289</v>
      </c>
      <c r="C278" t="s">
        <v>90</v>
      </c>
      <c r="D278" t="s">
        <v>1123</v>
      </c>
      <c r="E278" t="s">
        <v>461</v>
      </c>
      <c r="F278" t="s">
        <v>462</v>
      </c>
      <c r="G278" t="s">
        <v>1122</v>
      </c>
    </row>
    <row r="279" spans="1:7" x14ac:dyDescent="0.3">
      <c r="A279" t="s">
        <v>1424</v>
      </c>
      <c r="B279" t="s">
        <v>76</v>
      </c>
      <c r="C279" t="s">
        <v>84</v>
      </c>
      <c r="D279" t="s">
        <v>1123</v>
      </c>
      <c r="E279" t="s">
        <v>463</v>
      </c>
      <c r="F279" t="s">
        <v>464</v>
      </c>
      <c r="G279" t="s">
        <v>1122</v>
      </c>
    </row>
    <row r="280" spans="1:7" x14ac:dyDescent="0.3">
      <c r="A280" t="s">
        <v>1479</v>
      </c>
      <c r="B280" t="s">
        <v>289</v>
      </c>
      <c r="C280" t="s">
        <v>90</v>
      </c>
      <c r="D280" t="s">
        <v>1118</v>
      </c>
      <c r="E280" t="s">
        <v>261</v>
      </c>
      <c r="F280" t="s">
        <v>465</v>
      </c>
      <c r="G280" t="s">
        <v>1119</v>
      </c>
    </row>
    <row r="281" spans="1:7" x14ac:dyDescent="0.3">
      <c r="A281" t="s">
        <v>1480</v>
      </c>
      <c r="B281" t="s">
        <v>93</v>
      </c>
      <c r="C281" t="s">
        <v>66</v>
      </c>
      <c r="D281" t="s">
        <v>1123</v>
      </c>
      <c r="E281" t="s">
        <v>226</v>
      </c>
      <c r="F281" t="s">
        <v>466</v>
      </c>
      <c r="G281" t="s">
        <v>1120</v>
      </c>
    </row>
    <row r="282" spans="1:7" x14ac:dyDescent="0.3">
      <c r="A282" t="s">
        <v>1314</v>
      </c>
      <c r="B282" t="s">
        <v>49</v>
      </c>
      <c r="C282" t="s">
        <v>50</v>
      </c>
      <c r="D282" t="s">
        <v>1121</v>
      </c>
      <c r="E282" t="s">
        <v>186</v>
      </c>
      <c r="F282" t="s">
        <v>467</v>
      </c>
      <c r="G282" t="s">
        <v>1121</v>
      </c>
    </row>
    <row r="283" spans="1:7" x14ac:dyDescent="0.3">
      <c r="A283" t="s">
        <v>1336</v>
      </c>
      <c r="B283" t="s">
        <v>41</v>
      </c>
      <c r="C283" t="s">
        <v>42</v>
      </c>
      <c r="D283" t="s">
        <v>1118</v>
      </c>
      <c r="E283" t="s">
        <v>39</v>
      </c>
      <c r="F283" t="s">
        <v>468</v>
      </c>
      <c r="G283" t="s">
        <v>1122</v>
      </c>
    </row>
    <row r="284" spans="1:7" x14ac:dyDescent="0.3">
      <c r="A284" t="s">
        <v>1481</v>
      </c>
      <c r="B284" t="s">
        <v>89</v>
      </c>
      <c r="C284" t="s">
        <v>90</v>
      </c>
      <c r="D284" t="s">
        <v>1123</v>
      </c>
      <c r="E284" t="s">
        <v>393</v>
      </c>
      <c r="F284" t="s">
        <v>469</v>
      </c>
      <c r="G284" t="s">
        <v>1121</v>
      </c>
    </row>
    <row r="285" spans="1:7" x14ac:dyDescent="0.3">
      <c r="A285" t="s">
        <v>1482</v>
      </c>
      <c r="B285" t="s">
        <v>93</v>
      </c>
      <c r="C285" t="s">
        <v>101</v>
      </c>
      <c r="D285" t="s">
        <v>1121</v>
      </c>
      <c r="E285" t="s">
        <v>174</v>
      </c>
      <c r="F285" t="s">
        <v>470</v>
      </c>
      <c r="G285" t="s">
        <v>1121</v>
      </c>
    </row>
    <row r="286" spans="1:7" x14ac:dyDescent="0.3">
      <c r="A286" t="s">
        <v>1483</v>
      </c>
      <c r="B286" t="s">
        <v>49</v>
      </c>
      <c r="C286" t="s">
        <v>50</v>
      </c>
      <c r="D286" t="s">
        <v>1118</v>
      </c>
      <c r="E286" t="s">
        <v>349</v>
      </c>
      <c r="F286" t="s">
        <v>471</v>
      </c>
      <c r="G286" t="s">
        <v>1118</v>
      </c>
    </row>
    <row r="287" spans="1:7" x14ac:dyDescent="0.3">
      <c r="A287" t="s">
        <v>1484</v>
      </c>
      <c r="B287" t="s">
        <v>472</v>
      </c>
      <c r="C287" t="s">
        <v>66</v>
      </c>
      <c r="D287" t="s">
        <v>1121</v>
      </c>
      <c r="E287" t="s">
        <v>112</v>
      </c>
      <c r="F287" t="s">
        <v>473</v>
      </c>
      <c r="G287" t="s">
        <v>1118</v>
      </c>
    </row>
    <row r="288" spans="1:7" x14ac:dyDescent="0.3">
      <c r="A288" t="s">
        <v>1485</v>
      </c>
      <c r="B288" t="s">
        <v>93</v>
      </c>
      <c r="C288" t="s">
        <v>57</v>
      </c>
      <c r="D288" t="s">
        <v>1118</v>
      </c>
      <c r="E288" t="s">
        <v>474</v>
      </c>
      <c r="F288" t="s">
        <v>475</v>
      </c>
      <c r="G288" t="s">
        <v>1118</v>
      </c>
    </row>
    <row r="289" spans="1:7" x14ac:dyDescent="0.3">
      <c r="A289" t="s">
        <v>1463</v>
      </c>
      <c r="B289" t="s">
        <v>27</v>
      </c>
      <c r="C289" t="s">
        <v>31</v>
      </c>
      <c r="D289" t="s">
        <v>1123</v>
      </c>
      <c r="E289" t="s">
        <v>1210</v>
      </c>
      <c r="F289" t="s">
        <v>476</v>
      </c>
      <c r="G289" t="s">
        <v>1122</v>
      </c>
    </row>
    <row r="290" spans="1:7" x14ac:dyDescent="0.3">
      <c r="A290" t="s">
        <v>1306</v>
      </c>
      <c r="B290" t="s">
        <v>49</v>
      </c>
      <c r="C290" t="s">
        <v>52</v>
      </c>
      <c r="D290" t="s">
        <v>1123</v>
      </c>
      <c r="E290" t="s">
        <v>332</v>
      </c>
      <c r="F290" t="s">
        <v>477</v>
      </c>
      <c r="G290" t="s">
        <v>1120</v>
      </c>
    </row>
    <row r="291" spans="1:7" x14ac:dyDescent="0.3">
      <c r="A291" t="s">
        <v>1407</v>
      </c>
      <c r="B291" t="s">
        <v>89</v>
      </c>
      <c r="C291" t="s">
        <v>90</v>
      </c>
      <c r="D291" t="s">
        <v>1120</v>
      </c>
      <c r="E291" t="s">
        <v>354</v>
      </c>
      <c r="F291" t="s">
        <v>478</v>
      </c>
      <c r="G291" t="s">
        <v>1118</v>
      </c>
    </row>
    <row r="292" spans="1:7" x14ac:dyDescent="0.3">
      <c r="A292" t="s">
        <v>1465</v>
      </c>
      <c r="B292" t="s">
        <v>89</v>
      </c>
      <c r="C292" t="s">
        <v>131</v>
      </c>
      <c r="D292" t="s">
        <v>1121</v>
      </c>
      <c r="E292" t="s">
        <v>229</v>
      </c>
      <c r="F292" t="s">
        <v>479</v>
      </c>
      <c r="G292" t="s">
        <v>1118</v>
      </c>
    </row>
    <row r="293" spans="1:7" x14ac:dyDescent="0.3">
      <c r="A293" t="s">
        <v>1486</v>
      </c>
      <c r="B293" t="s">
        <v>76</v>
      </c>
      <c r="C293" t="s">
        <v>84</v>
      </c>
      <c r="D293" t="s">
        <v>1121</v>
      </c>
      <c r="E293" t="s">
        <v>150</v>
      </c>
      <c r="F293" t="s">
        <v>480</v>
      </c>
      <c r="G293" t="s">
        <v>1119</v>
      </c>
    </row>
    <row r="294" spans="1:7" x14ac:dyDescent="0.3">
      <c r="A294" t="s">
        <v>1345</v>
      </c>
      <c r="B294" t="s">
        <v>49</v>
      </c>
      <c r="C294" t="s">
        <v>50</v>
      </c>
      <c r="D294" t="s">
        <v>1120</v>
      </c>
      <c r="E294" t="s">
        <v>54</v>
      </c>
      <c r="F294" t="s">
        <v>481</v>
      </c>
      <c r="G294" t="s">
        <v>1118</v>
      </c>
    </row>
    <row r="295" spans="1:7" x14ac:dyDescent="0.3">
      <c r="A295" t="s">
        <v>1471</v>
      </c>
      <c r="B295" t="s">
        <v>93</v>
      </c>
      <c r="C295" t="s">
        <v>57</v>
      </c>
      <c r="D295" t="s">
        <v>1118</v>
      </c>
      <c r="E295" t="s">
        <v>1219</v>
      </c>
      <c r="F295" t="s">
        <v>482</v>
      </c>
      <c r="G295" t="s">
        <v>1122</v>
      </c>
    </row>
    <row r="296" spans="1:7" x14ac:dyDescent="0.3">
      <c r="A296" t="s">
        <v>1487</v>
      </c>
      <c r="B296" t="s">
        <v>89</v>
      </c>
      <c r="C296" t="s">
        <v>131</v>
      </c>
      <c r="D296" t="s">
        <v>1120</v>
      </c>
      <c r="E296" t="s">
        <v>47</v>
      </c>
      <c r="F296" t="s">
        <v>483</v>
      </c>
      <c r="G296" t="s">
        <v>1120</v>
      </c>
    </row>
    <row r="297" spans="1:7" x14ac:dyDescent="0.3">
      <c r="A297" t="s">
        <v>1488</v>
      </c>
      <c r="B297" t="s">
        <v>27</v>
      </c>
      <c r="C297" t="s">
        <v>31</v>
      </c>
      <c r="D297" t="s">
        <v>1118</v>
      </c>
      <c r="E297" t="s">
        <v>150</v>
      </c>
      <c r="F297" t="s">
        <v>484</v>
      </c>
      <c r="G297" t="s">
        <v>1122</v>
      </c>
    </row>
    <row r="298" spans="1:7" x14ac:dyDescent="0.3">
      <c r="A298" t="s">
        <v>1352</v>
      </c>
      <c r="B298" t="s">
        <v>27</v>
      </c>
      <c r="C298" t="s">
        <v>38</v>
      </c>
      <c r="D298" t="s">
        <v>700</v>
      </c>
      <c r="E298" t="s">
        <v>485</v>
      </c>
      <c r="F298" t="s">
        <v>486</v>
      </c>
      <c r="G298" t="s">
        <v>1119</v>
      </c>
    </row>
    <row r="299" spans="1:7" x14ac:dyDescent="0.3">
      <c r="A299" t="s">
        <v>1325</v>
      </c>
      <c r="B299" t="s">
        <v>41</v>
      </c>
      <c r="C299" t="s">
        <v>73</v>
      </c>
      <c r="D299" t="s">
        <v>1123</v>
      </c>
      <c r="E299" t="s">
        <v>183</v>
      </c>
      <c r="F299" t="s">
        <v>487</v>
      </c>
      <c r="G299" t="s">
        <v>1122</v>
      </c>
    </row>
    <row r="300" spans="1:7" x14ac:dyDescent="0.3">
      <c r="A300" t="s">
        <v>1410</v>
      </c>
      <c r="B300" t="s">
        <v>89</v>
      </c>
      <c r="C300" t="s">
        <v>131</v>
      </c>
      <c r="D300" t="s">
        <v>700</v>
      </c>
      <c r="E300" t="s">
        <v>488</v>
      </c>
      <c r="F300" t="s">
        <v>489</v>
      </c>
      <c r="G300" t="s">
        <v>1122</v>
      </c>
    </row>
    <row r="301" spans="1:7" x14ac:dyDescent="0.3">
      <c r="A301" t="s">
        <v>1290</v>
      </c>
      <c r="B301" t="s">
        <v>108</v>
      </c>
      <c r="C301" t="s">
        <v>109</v>
      </c>
      <c r="D301" t="s">
        <v>1121</v>
      </c>
      <c r="E301" t="s">
        <v>1220</v>
      </c>
      <c r="F301" t="s">
        <v>490</v>
      </c>
      <c r="G301" t="s">
        <v>1122</v>
      </c>
    </row>
    <row r="302" spans="1:7" x14ac:dyDescent="0.3">
      <c r="A302" t="s">
        <v>1363</v>
      </c>
      <c r="B302" t="s">
        <v>93</v>
      </c>
      <c r="C302" t="s">
        <v>101</v>
      </c>
      <c r="D302" t="s">
        <v>1123</v>
      </c>
      <c r="E302" t="s">
        <v>196</v>
      </c>
      <c r="F302" t="s">
        <v>491</v>
      </c>
      <c r="G302" t="s">
        <v>1118</v>
      </c>
    </row>
    <row r="303" spans="1:7" x14ac:dyDescent="0.3">
      <c r="A303" t="s">
        <v>1315</v>
      </c>
      <c r="B303" t="s">
        <v>76</v>
      </c>
      <c r="C303" t="s">
        <v>77</v>
      </c>
      <c r="D303" t="s">
        <v>1121</v>
      </c>
      <c r="E303" t="s">
        <v>492</v>
      </c>
      <c r="F303" t="s">
        <v>493</v>
      </c>
      <c r="G303" t="s">
        <v>66</v>
      </c>
    </row>
    <row r="304" spans="1:7" x14ac:dyDescent="0.3">
      <c r="A304" t="s">
        <v>1489</v>
      </c>
      <c r="B304" t="s">
        <v>76</v>
      </c>
      <c r="C304" t="s">
        <v>84</v>
      </c>
      <c r="D304" t="s">
        <v>1118</v>
      </c>
      <c r="E304" t="s">
        <v>218</v>
      </c>
      <c r="F304" t="s">
        <v>494</v>
      </c>
      <c r="G304" t="s">
        <v>1119</v>
      </c>
    </row>
    <row r="305" spans="1:7" x14ac:dyDescent="0.3">
      <c r="A305" t="s">
        <v>1312</v>
      </c>
      <c r="B305" t="s">
        <v>89</v>
      </c>
      <c r="C305" t="s">
        <v>90</v>
      </c>
      <c r="D305" t="s">
        <v>1123</v>
      </c>
      <c r="E305" t="s">
        <v>495</v>
      </c>
      <c r="F305" t="s">
        <v>496</v>
      </c>
      <c r="G305" t="s">
        <v>1119</v>
      </c>
    </row>
    <row r="306" spans="1:7" x14ac:dyDescent="0.3">
      <c r="A306" t="s">
        <v>1490</v>
      </c>
      <c r="B306" t="s">
        <v>89</v>
      </c>
      <c r="C306" t="s">
        <v>90</v>
      </c>
      <c r="D306" t="s">
        <v>1118</v>
      </c>
      <c r="E306" t="s">
        <v>368</v>
      </c>
      <c r="F306" t="s">
        <v>497</v>
      </c>
      <c r="G306" t="s">
        <v>1122</v>
      </c>
    </row>
    <row r="307" spans="1:7" x14ac:dyDescent="0.3">
      <c r="A307" t="s">
        <v>1361</v>
      </c>
      <c r="B307" t="s">
        <v>89</v>
      </c>
      <c r="C307" t="s">
        <v>90</v>
      </c>
      <c r="D307" t="s">
        <v>700</v>
      </c>
      <c r="E307" t="s">
        <v>461</v>
      </c>
      <c r="F307" t="s">
        <v>1221</v>
      </c>
      <c r="G307" t="s">
        <v>1119</v>
      </c>
    </row>
    <row r="308" spans="1:7" x14ac:dyDescent="0.3">
      <c r="A308" t="s">
        <v>1433</v>
      </c>
      <c r="B308" t="s">
        <v>27</v>
      </c>
      <c r="C308" t="s">
        <v>31</v>
      </c>
      <c r="D308" t="s">
        <v>1121</v>
      </c>
      <c r="E308" t="s">
        <v>267</v>
      </c>
      <c r="F308" t="s">
        <v>460</v>
      </c>
      <c r="G308" t="s">
        <v>1122</v>
      </c>
    </row>
    <row r="309" spans="1:7" x14ac:dyDescent="0.3">
      <c r="A309" t="s">
        <v>1401</v>
      </c>
      <c r="B309" t="s">
        <v>89</v>
      </c>
      <c r="C309" t="s">
        <v>131</v>
      </c>
      <c r="D309" t="s">
        <v>1121</v>
      </c>
      <c r="E309" t="s">
        <v>148</v>
      </c>
      <c r="F309" t="s">
        <v>302</v>
      </c>
      <c r="G309" t="s">
        <v>1122</v>
      </c>
    </row>
    <row r="310" spans="1:7" x14ac:dyDescent="0.3">
      <c r="A310" t="s">
        <v>1338</v>
      </c>
      <c r="B310" t="s">
        <v>27</v>
      </c>
      <c r="C310" t="s">
        <v>34</v>
      </c>
      <c r="D310" t="s">
        <v>1120</v>
      </c>
      <c r="E310" t="s">
        <v>418</v>
      </c>
      <c r="F310" t="s">
        <v>1189</v>
      </c>
      <c r="G310" t="s">
        <v>1118</v>
      </c>
    </row>
    <row r="311" spans="1:7" x14ac:dyDescent="0.3">
      <c r="A311" t="s">
        <v>1491</v>
      </c>
      <c r="B311" t="s">
        <v>60</v>
      </c>
      <c r="C311" t="s">
        <v>61</v>
      </c>
      <c r="D311" t="s">
        <v>1123</v>
      </c>
      <c r="E311" t="s">
        <v>1199</v>
      </c>
      <c r="F311" t="s">
        <v>498</v>
      </c>
      <c r="G311" t="s">
        <v>1118</v>
      </c>
    </row>
    <row r="312" spans="1:7" x14ac:dyDescent="0.3">
      <c r="A312" t="s">
        <v>1455</v>
      </c>
      <c r="B312" t="s">
        <v>108</v>
      </c>
      <c r="C312" t="s">
        <v>109</v>
      </c>
      <c r="D312" t="s">
        <v>1120</v>
      </c>
      <c r="E312" t="s">
        <v>499</v>
      </c>
      <c r="F312" t="s">
        <v>500</v>
      </c>
      <c r="G312" t="s">
        <v>1118</v>
      </c>
    </row>
    <row r="313" spans="1:7" x14ac:dyDescent="0.3">
      <c r="A313" t="s">
        <v>1319</v>
      </c>
      <c r="B313" t="s">
        <v>60</v>
      </c>
      <c r="C313" t="s">
        <v>64</v>
      </c>
      <c r="D313" t="s">
        <v>1118</v>
      </c>
      <c r="E313" t="s">
        <v>501</v>
      </c>
      <c r="F313" t="s">
        <v>502</v>
      </c>
      <c r="G313" t="s">
        <v>1121</v>
      </c>
    </row>
    <row r="314" spans="1:7" x14ac:dyDescent="0.3">
      <c r="A314" t="s">
        <v>1442</v>
      </c>
      <c r="B314" t="s">
        <v>89</v>
      </c>
      <c r="C314" t="s">
        <v>131</v>
      </c>
      <c r="D314" t="s">
        <v>1121</v>
      </c>
      <c r="E314" t="s">
        <v>141</v>
      </c>
      <c r="F314" t="s">
        <v>233</v>
      </c>
      <c r="G314" t="s">
        <v>1122</v>
      </c>
    </row>
    <row r="315" spans="1:7" x14ac:dyDescent="0.3">
      <c r="A315" t="s">
        <v>1492</v>
      </c>
      <c r="B315" t="s">
        <v>27</v>
      </c>
      <c r="C315" t="s">
        <v>34</v>
      </c>
      <c r="D315" t="s">
        <v>1121</v>
      </c>
      <c r="E315" t="s">
        <v>437</v>
      </c>
      <c r="F315" t="s">
        <v>503</v>
      </c>
      <c r="G315" t="s">
        <v>1119</v>
      </c>
    </row>
    <row r="316" spans="1:7" x14ac:dyDescent="0.3">
      <c r="A316" t="s">
        <v>1293</v>
      </c>
      <c r="B316" t="s">
        <v>89</v>
      </c>
      <c r="C316" t="s">
        <v>131</v>
      </c>
      <c r="D316" t="s">
        <v>1123</v>
      </c>
      <c r="E316" t="s">
        <v>1222</v>
      </c>
      <c r="F316" t="s">
        <v>192</v>
      </c>
      <c r="G316" t="s">
        <v>66</v>
      </c>
    </row>
    <row r="317" spans="1:7" x14ac:dyDescent="0.3">
      <c r="A317" t="s">
        <v>1475</v>
      </c>
      <c r="B317" t="s">
        <v>89</v>
      </c>
      <c r="C317" t="s">
        <v>131</v>
      </c>
      <c r="D317" t="s">
        <v>1121</v>
      </c>
      <c r="E317" t="s">
        <v>1184</v>
      </c>
      <c r="F317" t="s">
        <v>504</v>
      </c>
      <c r="G317" t="s">
        <v>1118</v>
      </c>
    </row>
    <row r="318" spans="1:7" x14ac:dyDescent="0.3">
      <c r="A318" t="s">
        <v>1399</v>
      </c>
      <c r="B318" t="s">
        <v>108</v>
      </c>
      <c r="C318" t="s">
        <v>208</v>
      </c>
      <c r="D318" t="s">
        <v>1121</v>
      </c>
      <c r="E318" t="s">
        <v>505</v>
      </c>
      <c r="F318" t="s">
        <v>155</v>
      </c>
      <c r="G318" t="s">
        <v>1119</v>
      </c>
    </row>
    <row r="319" spans="1:7" x14ac:dyDescent="0.3">
      <c r="A319" t="s">
        <v>1493</v>
      </c>
      <c r="B319" t="s">
        <v>108</v>
      </c>
      <c r="C319" t="s">
        <v>109</v>
      </c>
      <c r="D319" t="s">
        <v>1123</v>
      </c>
      <c r="E319" t="s">
        <v>506</v>
      </c>
      <c r="F319" t="s">
        <v>507</v>
      </c>
      <c r="G319" t="s">
        <v>1122</v>
      </c>
    </row>
    <row r="320" spans="1:7" x14ac:dyDescent="0.3">
      <c r="A320" t="s">
        <v>1494</v>
      </c>
      <c r="B320" t="s">
        <v>76</v>
      </c>
      <c r="C320" t="s">
        <v>84</v>
      </c>
      <c r="D320" t="s">
        <v>1123</v>
      </c>
      <c r="E320" t="s">
        <v>508</v>
      </c>
      <c r="F320" t="s">
        <v>509</v>
      </c>
      <c r="G320" t="s">
        <v>1121</v>
      </c>
    </row>
    <row r="321" spans="1:7" x14ac:dyDescent="0.3">
      <c r="A321" t="s">
        <v>1386</v>
      </c>
      <c r="B321" t="s">
        <v>27</v>
      </c>
      <c r="C321" t="s">
        <v>34</v>
      </c>
      <c r="D321" t="s">
        <v>1120</v>
      </c>
      <c r="E321" t="s">
        <v>1223</v>
      </c>
      <c r="F321" t="s">
        <v>510</v>
      </c>
      <c r="G321" t="s">
        <v>1120</v>
      </c>
    </row>
    <row r="322" spans="1:7" x14ac:dyDescent="0.3">
      <c r="A322" t="s">
        <v>1495</v>
      </c>
      <c r="B322" t="s">
        <v>49</v>
      </c>
      <c r="C322" t="s">
        <v>50</v>
      </c>
      <c r="D322" t="s">
        <v>1120</v>
      </c>
      <c r="E322" t="s">
        <v>511</v>
      </c>
      <c r="F322" t="s">
        <v>512</v>
      </c>
      <c r="G322" t="s">
        <v>1118</v>
      </c>
    </row>
    <row r="323" spans="1:7" x14ac:dyDescent="0.3">
      <c r="A323" t="s">
        <v>1496</v>
      </c>
      <c r="B323" t="s">
        <v>89</v>
      </c>
      <c r="C323" t="s">
        <v>131</v>
      </c>
      <c r="D323" t="s">
        <v>1120</v>
      </c>
      <c r="E323" t="s">
        <v>91</v>
      </c>
      <c r="F323" t="s">
        <v>466</v>
      </c>
      <c r="G323" t="s">
        <v>1122</v>
      </c>
    </row>
    <row r="324" spans="1:7" x14ac:dyDescent="0.3">
      <c r="A324" t="s">
        <v>1497</v>
      </c>
      <c r="B324" t="s">
        <v>93</v>
      </c>
      <c r="C324" t="s">
        <v>101</v>
      </c>
      <c r="D324" t="s">
        <v>1118</v>
      </c>
      <c r="E324" t="s">
        <v>513</v>
      </c>
      <c r="F324" t="s">
        <v>514</v>
      </c>
      <c r="G324" t="s">
        <v>1118</v>
      </c>
    </row>
    <row r="325" spans="1:7" x14ac:dyDescent="0.3">
      <c r="A325" t="s">
        <v>1444</v>
      </c>
      <c r="B325" t="s">
        <v>27</v>
      </c>
      <c r="C325" t="s">
        <v>28</v>
      </c>
      <c r="D325" t="s">
        <v>700</v>
      </c>
      <c r="E325" t="s">
        <v>515</v>
      </c>
      <c r="F325" t="s">
        <v>1221</v>
      </c>
      <c r="G325" t="s">
        <v>1118</v>
      </c>
    </row>
    <row r="326" spans="1:7" x14ac:dyDescent="0.3">
      <c r="A326" t="s">
        <v>1460</v>
      </c>
      <c r="B326" t="s">
        <v>49</v>
      </c>
      <c r="C326" t="s">
        <v>50</v>
      </c>
      <c r="D326" t="s">
        <v>1120</v>
      </c>
      <c r="E326" t="s">
        <v>316</v>
      </c>
      <c r="F326" t="s">
        <v>516</v>
      </c>
      <c r="G326" t="s">
        <v>1118</v>
      </c>
    </row>
    <row r="327" spans="1:7" x14ac:dyDescent="0.3">
      <c r="A327" t="s">
        <v>1498</v>
      </c>
      <c r="B327" t="s">
        <v>93</v>
      </c>
      <c r="C327" t="s">
        <v>57</v>
      </c>
      <c r="D327" t="s">
        <v>1123</v>
      </c>
      <c r="E327" t="s">
        <v>165</v>
      </c>
      <c r="F327" t="s">
        <v>517</v>
      </c>
      <c r="G327" t="s">
        <v>1123</v>
      </c>
    </row>
    <row r="328" spans="1:7" x14ac:dyDescent="0.3">
      <c r="A328" t="s">
        <v>1337</v>
      </c>
      <c r="B328" t="s">
        <v>41</v>
      </c>
      <c r="C328" t="s">
        <v>46</v>
      </c>
      <c r="D328" t="s">
        <v>1121</v>
      </c>
      <c r="E328" t="s">
        <v>518</v>
      </c>
      <c r="F328" t="s">
        <v>155</v>
      </c>
      <c r="G328" t="s">
        <v>1119</v>
      </c>
    </row>
    <row r="329" spans="1:7" x14ac:dyDescent="0.3">
      <c r="A329" t="s">
        <v>1499</v>
      </c>
      <c r="B329" t="s">
        <v>108</v>
      </c>
      <c r="C329" t="s">
        <v>169</v>
      </c>
      <c r="D329" t="s">
        <v>1121</v>
      </c>
      <c r="E329" t="s">
        <v>114</v>
      </c>
      <c r="F329" t="s">
        <v>519</v>
      </c>
      <c r="G329" t="s">
        <v>1119</v>
      </c>
    </row>
    <row r="330" spans="1:7" x14ac:dyDescent="0.3">
      <c r="A330" t="s">
        <v>1500</v>
      </c>
      <c r="B330" t="s">
        <v>60</v>
      </c>
      <c r="C330" t="s">
        <v>69</v>
      </c>
      <c r="D330" t="s">
        <v>700</v>
      </c>
      <c r="E330" t="s">
        <v>191</v>
      </c>
      <c r="F330" t="s">
        <v>520</v>
      </c>
      <c r="G330" t="s">
        <v>1123</v>
      </c>
    </row>
    <row r="331" spans="1:7" x14ac:dyDescent="0.3">
      <c r="A331" t="s">
        <v>1501</v>
      </c>
      <c r="B331" t="s">
        <v>49</v>
      </c>
      <c r="C331" t="s">
        <v>50</v>
      </c>
      <c r="D331" t="s">
        <v>700</v>
      </c>
      <c r="E331" t="s">
        <v>1224</v>
      </c>
      <c r="F331" t="s">
        <v>340</v>
      </c>
      <c r="G331" t="s">
        <v>1121</v>
      </c>
    </row>
    <row r="332" spans="1:7" x14ac:dyDescent="0.3">
      <c r="A332" t="s">
        <v>1358</v>
      </c>
      <c r="B332" t="s">
        <v>93</v>
      </c>
      <c r="C332" t="s">
        <v>101</v>
      </c>
      <c r="D332" t="s">
        <v>700</v>
      </c>
      <c r="E332" t="s">
        <v>74</v>
      </c>
      <c r="F332" t="s">
        <v>521</v>
      </c>
      <c r="G332" t="s">
        <v>1122</v>
      </c>
    </row>
    <row r="333" spans="1:7" x14ac:dyDescent="0.3">
      <c r="A333" t="s">
        <v>1502</v>
      </c>
      <c r="B333" t="s">
        <v>60</v>
      </c>
      <c r="C333" t="s">
        <v>64</v>
      </c>
      <c r="D333" t="s">
        <v>1120</v>
      </c>
      <c r="E333" t="s">
        <v>279</v>
      </c>
      <c r="F333" t="s">
        <v>522</v>
      </c>
      <c r="G333" t="s">
        <v>1118</v>
      </c>
    </row>
    <row r="334" spans="1:7" x14ac:dyDescent="0.3">
      <c r="A334" t="s">
        <v>1503</v>
      </c>
      <c r="B334" t="s">
        <v>41</v>
      </c>
      <c r="C334" t="s">
        <v>73</v>
      </c>
      <c r="D334" t="s">
        <v>1120</v>
      </c>
      <c r="E334" t="s">
        <v>1225</v>
      </c>
      <c r="F334" t="s">
        <v>210</v>
      </c>
      <c r="G334" t="s">
        <v>1118</v>
      </c>
    </row>
    <row r="335" spans="1:7" x14ac:dyDescent="0.3">
      <c r="A335" t="s">
        <v>1504</v>
      </c>
      <c r="B335" t="s">
        <v>523</v>
      </c>
      <c r="C335" t="s">
        <v>169</v>
      </c>
      <c r="D335" t="s">
        <v>1121</v>
      </c>
      <c r="E335" t="s">
        <v>102</v>
      </c>
      <c r="F335" t="s">
        <v>524</v>
      </c>
      <c r="G335" t="s">
        <v>1119</v>
      </c>
    </row>
    <row r="336" spans="1:7" x14ac:dyDescent="0.3">
      <c r="A336" t="s">
        <v>1505</v>
      </c>
      <c r="B336" t="s">
        <v>93</v>
      </c>
      <c r="C336" t="s">
        <v>101</v>
      </c>
      <c r="D336" t="s">
        <v>700</v>
      </c>
      <c r="E336" t="s">
        <v>454</v>
      </c>
      <c r="F336" t="s">
        <v>105</v>
      </c>
      <c r="G336" t="s">
        <v>1118</v>
      </c>
    </row>
    <row r="337" spans="1:7" x14ac:dyDescent="0.3">
      <c r="A337" t="s">
        <v>1430</v>
      </c>
      <c r="B337" t="s">
        <v>108</v>
      </c>
      <c r="C337" t="s">
        <v>169</v>
      </c>
      <c r="D337" t="s">
        <v>1123</v>
      </c>
      <c r="E337" t="s">
        <v>525</v>
      </c>
      <c r="F337" t="s">
        <v>526</v>
      </c>
      <c r="G337" t="s">
        <v>1122</v>
      </c>
    </row>
    <row r="338" spans="1:7" x14ac:dyDescent="0.3">
      <c r="A338" t="s">
        <v>1423</v>
      </c>
      <c r="B338" t="s">
        <v>27</v>
      </c>
      <c r="C338" t="s">
        <v>31</v>
      </c>
      <c r="D338" t="s">
        <v>700</v>
      </c>
      <c r="E338" t="s">
        <v>527</v>
      </c>
      <c r="F338" t="s">
        <v>528</v>
      </c>
      <c r="G338" t="s">
        <v>1122</v>
      </c>
    </row>
    <row r="339" spans="1:7" x14ac:dyDescent="0.3">
      <c r="A339" t="s">
        <v>1475</v>
      </c>
      <c r="B339" t="s">
        <v>108</v>
      </c>
      <c r="C339" t="s">
        <v>208</v>
      </c>
      <c r="D339" t="s">
        <v>1123</v>
      </c>
      <c r="E339" t="s">
        <v>529</v>
      </c>
      <c r="F339" t="s">
        <v>1226</v>
      </c>
      <c r="G339" t="s">
        <v>1121</v>
      </c>
    </row>
    <row r="340" spans="1:7" x14ac:dyDescent="0.3">
      <c r="A340" t="s">
        <v>1506</v>
      </c>
      <c r="B340" t="s">
        <v>60</v>
      </c>
      <c r="C340" t="s">
        <v>61</v>
      </c>
      <c r="D340" t="s">
        <v>700</v>
      </c>
      <c r="E340" t="s">
        <v>161</v>
      </c>
      <c r="F340" t="s">
        <v>66</v>
      </c>
      <c r="G340" t="s">
        <v>1123</v>
      </c>
    </row>
    <row r="341" spans="1:7" x14ac:dyDescent="0.3">
      <c r="A341" t="s">
        <v>1398</v>
      </c>
      <c r="B341" t="s">
        <v>60</v>
      </c>
      <c r="C341" t="s">
        <v>69</v>
      </c>
      <c r="D341" t="s">
        <v>1123</v>
      </c>
      <c r="E341" t="s">
        <v>530</v>
      </c>
      <c r="F341" t="s">
        <v>531</v>
      </c>
      <c r="G341" t="s">
        <v>1121</v>
      </c>
    </row>
    <row r="342" spans="1:7" x14ac:dyDescent="0.3">
      <c r="A342" t="s">
        <v>1134</v>
      </c>
      <c r="B342" t="s">
        <v>41</v>
      </c>
      <c r="C342" t="s">
        <v>46</v>
      </c>
      <c r="D342" t="s">
        <v>1120</v>
      </c>
      <c r="E342" t="s">
        <v>215</v>
      </c>
      <c r="F342" t="s">
        <v>532</v>
      </c>
      <c r="G342" t="s">
        <v>1118</v>
      </c>
    </row>
    <row r="343" spans="1:7" x14ac:dyDescent="0.3">
      <c r="A343" t="s">
        <v>1507</v>
      </c>
      <c r="B343" t="s">
        <v>76</v>
      </c>
      <c r="C343" t="s">
        <v>80</v>
      </c>
      <c r="D343" t="s">
        <v>1123</v>
      </c>
      <c r="E343" t="s">
        <v>533</v>
      </c>
      <c r="F343" t="s">
        <v>534</v>
      </c>
      <c r="G343" t="s">
        <v>1120</v>
      </c>
    </row>
    <row r="344" spans="1:7" x14ac:dyDescent="0.3">
      <c r="A344" t="s">
        <v>1355</v>
      </c>
      <c r="B344" t="s">
        <v>76</v>
      </c>
      <c r="C344" t="s">
        <v>84</v>
      </c>
      <c r="D344" t="s">
        <v>1120</v>
      </c>
      <c r="E344" t="s">
        <v>1227</v>
      </c>
      <c r="F344" t="s">
        <v>535</v>
      </c>
      <c r="G344" t="s">
        <v>1118</v>
      </c>
    </row>
    <row r="345" spans="1:7" x14ac:dyDescent="0.3">
      <c r="A345" t="s">
        <v>1508</v>
      </c>
      <c r="B345" t="s">
        <v>27</v>
      </c>
      <c r="C345" t="s">
        <v>38</v>
      </c>
      <c r="D345" t="s">
        <v>1123</v>
      </c>
      <c r="E345" t="s">
        <v>536</v>
      </c>
      <c r="F345" t="s">
        <v>185</v>
      </c>
      <c r="G345" t="s">
        <v>1118</v>
      </c>
    </row>
    <row r="346" spans="1:7" x14ac:dyDescent="0.3">
      <c r="A346" t="s">
        <v>1509</v>
      </c>
      <c r="B346" t="s">
        <v>93</v>
      </c>
      <c r="C346" t="s">
        <v>101</v>
      </c>
      <c r="D346" t="s">
        <v>700</v>
      </c>
      <c r="E346" t="s">
        <v>537</v>
      </c>
      <c r="F346" t="s">
        <v>538</v>
      </c>
      <c r="G346" t="s">
        <v>1118</v>
      </c>
    </row>
    <row r="347" spans="1:7" x14ac:dyDescent="0.3">
      <c r="A347" t="s">
        <v>1420</v>
      </c>
      <c r="B347" t="s">
        <v>27</v>
      </c>
      <c r="C347" t="s">
        <v>31</v>
      </c>
      <c r="D347" t="s">
        <v>1120</v>
      </c>
      <c r="E347" t="s">
        <v>161</v>
      </c>
      <c r="F347" t="s">
        <v>539</v>
      </c>
      <c r="G347" t="s">
        <v>1120</v>
      </c>
    </row>
    <row r="348" spans="1:7" x14ac:dyDescent="0.3">
      <c r="A348" t="s">
        <v>1510</v>
      </c>
      <c r="B348" t="s">
        <v>108</v>
      </c>
      <c r="C348" t="s">
        <v>109</v>
      </c>
      <c r="D348" t="s">
        <v>1123</v>
      </c>
      <c r="E348" t="s">
        <v>525</v>
      </c>
      <c r="F348" t="s">
        <v>540</v>
      </c>
      <c r="G348" t="s">
        <v>1122</v>
      </c>
    </row>
    <row r="349" spans="1:7" x14ac:dyDescent="0.3">
      <c r="A349" t="s">
        <v>1300</v>
      </c>
      <c r="B349" t="s">
        <v>93</v>
      </c>
      <c r="C349" t="s">
        <v>101</v>
      </c>
      <c r="D349" t="s">
        <v>1123</v>
      </c>
      <c r="E349" t="s">
        <v>541</v>
      </c>
      <c r="F349" t="s">
        <v>1228</v>
      </c>
      <c r="G349" t="s">
        <v>700</v>
      </c>
    </row>
    <row r="350" spans="1:7" x14ac:dyDescent="0.3">
      <c r="A350" t="s">
        <v>1511</v>
      </c>
      <c r="B350" t="s">
        <v>89</v>
      </c>
      <c r="C350" t="s">
        <v>90</v>
      </c>
      <c r="D350" t="s">
        <v>1118</v>
      </c>
      <c r="E350" t="s">
        <v>252</v>
      </c>
      <c r="F350" t="s">
        <v>542</v>
      </c>
      <c r="G350" t="s">
        <v>1118</v>
      </c>
    </row>
    <row r="351" spans="1:7" x14ac:dyDescent="0.3">
      <c r="A351" t="s">
        <v>1512</v>
      </c>
      <c r="B351" t="s">
        <v>108</v>
      </c>
      <c r="C351" t="s">
        <v>169</v>
      </c>
      <c r="D351" t="s">
        <v>1118</v>
      </c>
      <c r="E351" t="s">
        <v>174</v>
      </c>
      <c r="F351" t="s">
        <v>1229</v>
      </c>
      <c r="G351" t="s">
        <v>1122</v>
      </c>
    </row>
    <row r="352" spans="1:7" x14ac:dyDescent="0.3">
      <c r="A352" t="s">
        <v>1513</v>
      </c>
      <c r="B352" t="s">
        <v>27</v>
      </c>
      <c r="C352" t="s">
        <v>38</v>
      </c>
      <c r="D352" t="s">
        <v>1118</v>
      </c>
      <c r="E352" t="s">
        <v>186</v>
      </c>
      <c r="F352" t="s">
        <v>543</v>
      </c>
      <c r="G352" t="s">
        <v>1119</v>
      </c>
    </row>
    <row r="353" spans="1:7" x14ac:dyDescent="0.3">
      <c r="A353" t="s">
        <v>1437</v>
      </c>
      <c r="B353" t="s">
        <v>108</v>
      </c>
      <c r="C353" t="s">
        <v>208</v>
      </c>
      <c r="D353" t="s">
        <v>1120</v>
      </c>
      <c r="E353" t="s">
        <v>544</v>
      </c>
      <c r="F353" t="s">
        <v>545</v>
      </c>
      <c r="G353" t="s">
        <v>1121</v>
      </c>
    </row>
    <row r="354" spans="1:7" x14ac:dyDescent="0.3">
      <c r="A354" t="s">
        <v>1514</v>
      </c>
      <c r="B354" t="s">
        <v>27</v>
      </c>
      <c r="C354" t="s">
        <v>31</v>
      </c>
      <c r="D354" t="s">
        <v>1121</v>
      </c>
      <c r="E354" t="s">
        <v>546</v>
      </c>
      <c r="F354" t="s">
        <v>547</v>
      </c>
      <c r="G354" t="s">
        <v>1119</v>
      </c>
    </row>
    <row r="355" spans="1:7" x14ac:dyDescent="0.3">
      <c r="A355" t="s">
        <v>1515</v>
      </c>
      <c r="B355" t="s">
        <v>108</v>
      </c>
      <c r="C355" t="s">
        <v>208</v>
      </c>
      <c r="D355" t="s">
        <v>1118</v>
      </c>
      <c r="E355" t="s">
        <v>218</v>
      </c>
      <c r="F355" t="s">
        <v>548</v>
      </c>
      <c r="G355" t="s">
        <v>1122</v>
      </c>
    </row>
    <row r="356" spans="1:7" x14ac:dyDescent="0.3">
      <c r="A356" t="s">
        <v>1379</v>
      </c>
      <c r="B356" t="s">
        <v>49</v>
      </c>
      <c r="C356" t="s">
        <v>52</v>
      </c>
      <c r="D356" t="s">
        <v>1121</v>
      </c>
      <c r="E356" t="s">
        <v>252</v>
      </c>
      <c r="F356" t="s">
        <v>549</v>
      </c>
      <c r="G356" t="s">
        <v>1120</v>
      </c>
    </row>
    <row r="357" spans="1:7" x14ac:dyDescent="0.3">
      <c r="A357" t="s">
        <v>1404</v>
      </c>
      <c r="B357" t="s">
        <v>27</v>
      </c>
      <c r="C357" t="s">
        <v>38</v>
      </c>
      <c r="D357" t="s">
        <v>1123</v>
      </c>
      <c r="E357" t="s">
        <v>1230</v>
      </c>
      <c r="F357" t="s">
        <v>550</v>
      </c>
      <c r="G357" t="s">
        <v>1119</v>
      </c>
    </row>
    <row r="358" spans="1:7" x14ac:dyDescent="0.3">
      <c r="A358" t="s">
        <v>1516</v>
      </c>
      <c r="B358" t="s">
        <v>89</v>
      </c>
      <c r="C358" t="s">
        <v>131</v>
      </c>
      <c r="D358" t="s">
        <v>1118</v>
      </c>
      <c r="E358" t="s">
        <v>551</v>
      </c>
      <c r="F358" t="s">
        <v>552</v>
      </c>
      <c r="G358" t="s">
        <v>1119</v>
      </c>
    </row>
    <row r="359" spans="1:7" x14ac:dyDescent="0.3">
      <c r="A359" t="s">
        <v>1517</v>
      </c>
      <c r="B359" t="s">
        <v>41</v>
      </c>
      <c r="C359" t="s">
        <v>42</v>
      </c>
      <c r="D359" t="s">
        <v>1118</v>
      </c>
      <c r="E359" t="s">
        <v>153</v>
      </c>
      <c r="F359" t="s">
        <v>553</v>
      </c>
      <c r="G359" t="s">
        <v>1122</v>
      </c>
    </row>
    <row r="360" spans="1:7" x14ac:dyDescent="0.3">
      <c r="A360" t="s">
        <v>1518</v>
      </c>
      <c r="B360" t="s">
        <v>27</v>
      </c>
      <c r="C360" t="s">
        <v>34</v>
      </c>
      <c r="D360" t="s">
        <v>1123</v>
      </c>
      <c r="E360" t="s">
        <v>554</v>
      </c>
      <c r="F360" t="s">
        <v>1231</v>
      </c>
      <c r="G360" t="s">
        <v>1119</v>
      </c>
    </row>
    <row r="361" spans="1:7" x14ac:dyDescent="0.3">
      <c r="A361" t="s">
        <v>1492</v>
      </c>
      <c r="B361" t="s">
        <v>60</v>
      </c>
      <c r="C361" t="s">
        <v>61</v>
      </c>
      <c r="D361" t="s">
        <v>1123</v>
      </c>
      <c r="E361" t="s">
        <v>226</v>
      </c>
      <c r="F361" t="s">
        <v>66</v>
      </c>
      <c r="G361" t="s">
        <v>1120</v>
      </c>
    </row>
    <row r="362" spans="1:7" x14ac:dyDescent="0.3">
      <c r="A362" t="s">
        <v>1428</v>
      </c>
      <c r="B362" t="s">
        <v>76</v>
      </c>
      <c r="C362" t="s">
        <v>84</v>
      </c>
      <c r="D362" t="s">
        <v>1123</v>
      </c>
      <c r="E362" t="s">
        <v>555</v>
      </c>
      <c r="F362" t="s">
        <v>556</v>
      </c>
      <c r="G362" t="s">
        <v>1119</v>
      </c>
    </row>
    <row r="363" spans="1:7" x14ac:dyDescent="0.3">
      <c r="A363" t="s">
        <v>1133</v>
      </c>
      <c r="B363" t="s">
        <v>41</v>
      </c>
      <c r="C363" t="s">
        <v>73</v>
      </c>
      <c r="D363" t="s">
        <v>700</v>
      </c>
      <c r="E363" t="s">
        <v>557</v>
      </c>
      <c r="F363" t="s">
        <v>558</v>
      </c>
      <c r="G363" t="s">
        <v>1119</v>
      </c>
    </row>
    <row r="364" spans="1:7" x14ac:dyDescent="0.3">
      <c r="A364" t="s">
        <v>1407</v>
      </c>
      <c r="B364" t="s">
        <v>89</v>
      </c>
      <c r="C364" t="s">
        <v>90</v>
      </c>
      <c r="D364" t="s">
        <v>1120</v>
      </c>
      <c r="E364" t="s">
        <v>66</v>
      </c>
      <c r="F364" t="s">
        <v>559</v>
      </c>
      <c r="G364" t="s">
        <v>1119</v>
      </c>
    </row>
    <row r="365" spans="1:7" x14ac:dyDescent="0.3">
      <c r="A365" t="s">
        <v>1512</v>
      </c>
      <c r="B365" t="s">
        <v>93</v>
      </c>
      <c r="C365" t="s">
        <v>101</v>
      </c>
      <c r="D365" t="s">
        <v>1123</v>
      </c>
      <c r="E365" t="s">
        <v>54</v>
      </c>
      <c r="F365" t="s">
        <v>560</v>
      </c>
      <c r="G365" t="s">
        <v>1121</v>
      </c>
    </row>
    <row r="366" spans="1:7" x14ac:dyDescent="0.3">
      <c r="A366" t="s">
        <v>1514</v>
      </c>
      <c r="B366" t="s">
        <v>49</v>
      </c>
      <c r="C366" t="s">
        <v>50</v>
      </c>
      <c r="D366" t="s">
        <v>700</v>
      </c>
      <c r="E366" t="s">
        <v>561</v>
      </c>
      <c r="F366" t="s">
        <v>562</v>
      </c>
      <c r="G366" t="s">
        <v>1121</v>
      </c>
    </row>
    <row r="367" spans="1:7" x14ac:dyDescent="0.3">
      <c r="A367" t="s">
        <v>1519</v>
      </c>
      <c r="B367" t="s">
        <v>76</v>
      </c>
      <c r="C367" t="s">
        <v>77</v>
      </c>
      <c r="D367" t="s">
        <v>1123</v>
      </c>
      <c r="E367" t="s">
        <v>563</v>
      </c>
      <c r="F367" t="s">
        <v>271</v>
      </c>
      <c r="G367" t="s">
        <v>1118</v>
      </c>
    </row>
    <row r="368" spans="1:7" x14ac:dyDescent="0.3">
      <c r="A368" t="s">
        <v>1298</v>
      </c>
      <c r="B368" t="s">
        <v>27</v>
      </c>
      <c r="C368" t="s">
        <v>34</v>
      </c>
      <c r="D368" t="s">
        <v>1120</v>
      </c>
      <c r="E368" t="s">
        <v>564</v>
      </c>
      <c r="F368" t="s">
        <v>565</v>
      </c>
      <c r="G368" t="s">
        <v>1119</v>
      </c>
    </row>
    <row r="369" spans="1:7" x14ac:dyDescent="0.3">
      <c r="A369" t="s">
        <v>1319</v>
      </c>
      <c r="B369" t="s">
        <v>60</v>
      </c>
      <c r="C369" t="s">
        <v>64</v>
      </c>
      <c r="D369" t="s">
        <v>700</v>
      </c>
      <c r="E369" t="s">
        <v>423</v>
      </c>
      <c r="F369" t="s">
        <v>566</v>
      </c>
      <c r="G369" t="s">
        <v>1122</v>
      </c>
    </row>
    <row r="370" spans="1:7" x14ac:dyDescent="0.3">
      <c r="A370" t="s">
        <v>1520</v>
      </c>
      <c r="B370" t="s">
        <v>60</v>
      </c>
      <c r="C370" t="s">
        <v>64</v>
      </c>
      <c r="D370" t="s">
        <v>1120</v>
      </c>
      <c r="E370" t="s">
        <v>159</v>
      </c>
      <c r="F370" t="s">
        <v>371</v>
      </c>
      <c r="G370" t="s">
        <v>1120</v>
      </c>
    </row>
    <row r="371" spans="1:7" x14ac:dyDescent="0.3">
      <c r="A371" t="s">
        <v>1521</v>
      </c>
      <c r="B371" t="s">
        <v>60</v>
      </c>
      <c r="C371" t="s">
        <v>61</v>
      </c>
      <c r="D371" t="s">
        <v>700</v>
      </c>
      <c r="E371" t="s">
        <v>567</v>
      </c>
      <c r="F371" t="s">
        <v>178</v>
      </c>
      <c r="G371" t="s">
        <v>1120</v>
      </c>
    </row>
    <row r="372" spans="1:7" x14ac:dyDescent="0.3">
      <c r="A372" t="s">
        <v>1436</v>
      </c>
      <c r="B372" t="s">
        <v>60</v>
      </c>
      <c r="C372" t="s">
        <v>69</v>
      </c>
      <c r="D372" t="s">
        <v>700</v>
      </c>
      <c r="E372" t="s">
        <v>1224</v>
      </c>
      <c r="F372" t="s">
        <v>568</v>
      </c>
      <c r="G372" t="s">
        <v>1119</v>
      </c>
    </row>
    <row r="373" spans="1:7" x14ac:dyDescent="0.3">
      <c r="A373" t="s">
        <v>1491</v>
      </c>
      <c r="B373" t="s">
        <v>27</v>
      </c>
      <c r="C373" t="s">
        <v>28</v>
      </c>
      <c r="D373" t="s">
        <v>1120</v>
      </c>
      <c r="E373" t="s">
        <v>139</v>
      </c>
      <c r="F373" t="s">
        <v>1232</v>
      </c>
      <c r="G373" t="s">
        <v>1119</v>
      </c>
    </row>
    <row r="374" spans="1:7" x14ac:dyDescent="0.3">
      <c r="A374" t="s">
        <v>1522</v>
      </c>
      <c r="B374" t="s">
        <v>108</v>
      </c>
      <c r="C374" t="s">
        <v>109</v>
      </c>
      <c r="D374" t="s">
        <v>700</v>
      </c>
      <c r="E374" t="s">
        <v>269</v>
      </c>
      <c r="F374" t="s">
        <v>569</v>
      </c>
      <c r="G374" t="s">
        <v>1122</v>
      </c>
    </row>
    <row r="375" spans="1:7" x14ac:dyDescent="0.3">
      <c r="A375" t="s">
        <v>1523</v>
      </c>
      <c r="B375" t="s">
        <v>49</v>
      </c>
      <c r="C375" t="s">
        <v>50</v>
      </c>
      <c r="D375" t="s">
        <v>1121</v>
      </c>
      <c r="E375" t="s">
        <v>570</v>
      </c>
      <c r="F375" t="s">
        <v>571</v>
      </c>
      <c r="G375" t="s">
        <v>1121</v>
      </c>
    </row>
    <row r="376" spans="1:7" x14ac:dyDescent="0.3">
      <c r="A376" t="s">
        <v>1524</v>
      </c>
      <c r="B376" t="s">
        <v>76</v>
      </c>
      <c r="C376" t="s">
        <v>80</v>
      </c>
      <c r="D376" t="s">
        <v>1123</v>
      </c>
      <c r="E376" t="s">
        <v>66</v>
      </c>
      <c r="F376" t="s">
        <v>572</v>
      </c>
      <c r="G376" t="s">
        <v>1122</v>
      </c>
    </row>
    <row r="377" spans="1:7" x14ac:dyDescent="0.3">
      <c r="A377" t="s">
        <v>1496</v>
      </c>
      <c r="B377" t="s">
        <v>41</v>
      </c>
      <c r="C377" t="s">
        <v>46</v>
      </c>
      <c r="D377" t="s">
        <v>1121</v>
      </c>
      <c r="E377" t="s">
        <v>235</v>
      </c>
      <c r="F377" t="s">
        <v>573</v>
      </c>
      <c r="G377" t="s">
        <v>1120</v>
      </c>
    </row>
    <row r="378" spans="1:7" x14ac:dyDescent="0.3">
      <c r="A378" t="s">
        <v>1477</v>
      </c>
      <c r="B378" t="s">
        <v>60</v>
      </c>
      <c r="C378" t="s">
        <v>61</v>
      </c>
      <c r="D378" t="s">
        <v>1120</v>
      </c>
      <c r="E378" t="s">
        <v>574</v>
      </c>
      <c r="F378" t="s">
        <v>478</v>
      </c>
      <c r="G378" t="s">
        <v>1118</v>
      </c>
    </row>
    <row r="379" spans="1:7" x14ac:dyDescent="0.3">
      <c r="A379" t="s">
        <v>1442</v>
      </c>
      <c r="B379" t="s">
        <v>1148</v>
      </c>
      <c r="C379" t="s">
        <v>52</v>
      </c>
      <c r="D379" t="s">
        <v>1120</v>
      </c>
      <c r="E379" t="s">
        <v>551</v>
      </c>
      <c r="F379" t="s">
        <v>1149</v>
      </c>
      <c r="G379" t="s">
        <v>1118</v>
      </c>
    </row>
    <row r="380" spans="1:7" x14ac:dyDescent="0.3">
      <c r="A380" t="s">
        <v>1466</v>
      </c>
      <c r="B380" t="s">
        <v>49</v>
      </c>
      <c r="C380" t="s">
        <v>52</v>
      </c>
      <c r="D380" t="s">
        <v>700</v>
      </c>
      <c r="E380" t="s">
        <v>418</v>
      </c>
      <c r="F380" t="s">
        <v>1233</v>
      </c>
      <c r="G380" t="s">
        <v>1120</v>
      </c>
    </row>
    <row r="381" spans="1:7" x14ac:dyDescent="0.3">
      <c r="A381" t="s">
        <v>1512</v>
      </c>
      <c r="B381" t="s">
        <v>27</v>
      </c>
      <c r="C381" t="s">
        <v>34</v>
      </c>
      <c r="D381" t="s">
        <v>1121</v>
      </c>
      <c r="E381" t="s">
        <v>102</v>
      </c>
      <c r="F381" t="s">
        <v>575</v>
      </c>
      <c r="G381" t="s">
        <v>1122</v>
      </c>
    </row>
    <row r="382" spans="1:7" x14ac:dyDescent="0.3">
      <c r="A382" t="s">
        <v>1525</v>
      </c>
      <c r="B382" t="s">
        <v>89</v>
      </c>
      <c r="C382" t="s">
        <v>131</v>
      </c>
      <c r="D382" t="s">
        <v>1121</v>
      </c>
      <c r="E382" t="s">
        <v>1186</v>
      </c>
      <c r="F382" t="s">
        <v>576</v>
      </c>
      <c r="G382" t="s">
        <v>1122</v>
      </c>
    </row>
    <row r="383" spans="1:7" x14ac:dyDescent="0.3">
      <c r="A383" t="s">
        <v>1135</v>
      </c>
      <c r="B383" t="s">
        <v>49</v>
      </c>
      <c r="C383" t="s">
        <v>50</v>
      </c>
      <c r="D383" t="s">
        <v>700</v>
      </c>
      <c r="E383" t="s">
        <v>1222</v>
      </c>
      <c r="F383" t="s">
        <v>577</v>
      </c>
      <c r="G383" t="s">
        <v>1122</v>
      </c>
    </row>
    <row r="384" spans="1:7" x14ac:dyDescent="0.3">
      <c r="A384" t="s">
        <v>1464</v>
      </c>
      <c r="B384" t="s">
        <v>409</v>
      </c>
      <c r="C384" t="s">
        <v>169</v>
      </c>
      <c r="D384" t="s">
        <v>1118</v>
      </c>
      <c r="E384" t="s">
        <v>375</v>
      </c>
      <c r="F384" t="s">
        <v>410</v>
      </c>
      <c r="G384" t="s">
        <v>1119</v>
      </c>
    </row>
    <row r="385" spans="1:7" x14ac:dyDescent="0.3">
      <c r="A385" t="s">
        <v>1526</v>
      </c>
      <c r="B385" t="s">
        <v>76</v>
      </c>
      <c r="C385" t="s">
        <v>77</v>
      </c>
      <c r="D385" t="s">
        <v>1120</v>
      </c>
      <c r="E385" t="s">
        <v>325</v>
      </c>
      <c r="F385" t="s">
        <v>578</v>
      </c>
      <c r="G385" t="s">
        <v>1122</v>
      </c>
    </row>
    <row r="386" spans="1:7" x14ac:dyDescent="0.3">
      <c r="A386" t="s">
        <v>1330</v>
      </c>
      <c r="B386" t="s">
        <v>41</v>
      </c>
      <c r="C386" t="s">
        <v>46</v>
      </c>
      <c r="D386" t="s">
        <v>1121</v>
      </c>
      <c r="E386" t="s">
        <v>579</v>
      </c>
      <c r="F386" t="s">
        <v>580</v>
      </c>
      <c r="G386" t="s">
        <v>1119</v>
      </c>
    </row>
    <row r="387" spans="1:7" x14ac:dyDescent="0.3">
      <c r="A387" t="s">
        <v>1527</v>
      </c>
      <c r="B387" t="s">
        <v>76</v>
      </c>
      <c r="C387" t="s">
        <v>80</v>
      </c>
      <c r="D387" t="s">
        <v>1123</v>
      </c>
      <c r="E387" t="s">
        <v>536</v>
      </c>
      <c r="F387" t="s">
        <v>581</v>
      </c>
      <c r="G387" t="s">
        <v>1122</v>
      </c>
    </row>
    <row r="388" spans="1:7" x14ac:dyDescent="0.3">
      <c r="A388" t="s">
        <v>1495</v>
      </c>
      <c r="B388" t="s">
        <v>93</v>
      </c>
      <c r="C388" t="s">
        <v>57</v>
      </c>
      <c r="D388" t="s">
        <v>1118</v>
      </c>
      <c r="E388" t="s">
        <v>53</v>
      </c>
      <c r="F388" t="s">
        <v>582</v>
      </c>
      <c r="G388" t="s">
        <v>1118</v>
      </c>
    </row>
    <row r="389" spans="1:7" x14ac:dyDescent="0.3">
      <c r="A389" t="s">
        <v>1314</v>
      </c>
      <c r="B389" t="s">
        <v>49</v>
      </c>
      <c r="C389" t="s">
        <v>50</v>
      </c>
      <c r="D389" t="s">
        <v>1121</v>
      </c>
      <c r="E389" t="s">
        <v>130</v>
      </c>
      <c r="F389" t="s">
        <v>583</v>
      </c>
      <c r="G389" t="s">
        <v>1123</v>
      </c>
    </row>
    <row r="390" spans="1:7" x14ac:dyDescent="0.3">
      <c r="A390" t="s">
        <v>1308</v>
      </c>
      <c r="B390" t="s">
        <v>93</v>
      </c>
      <c r="C390" t="s">
        <v>57</v>
      </c>
      <c r="D390" t="s">
        <v>1121</v>
      </c>
      <c r="E390" t="s">
        <v>330</v>
      </c>
      <c r="F390" t="s">
        <v>584</v>
      </c>
      <c r="G390" t="s">
        <v>1121</v>
      </c>
    </row>
    <row r="391" spans="1:7" x14ac:dyDescent="0.3">
      <c r="A391" t="s">
        <v>1528</v>
      </c>
      <c r="B391" t="s">
        <v>76</v>
      </c>
      <c r="C391" t="s">
        <v>80</v>
      </c>
      <c r="D391" t="s">
        <v>700</v>
      </c>
      <c r="E391" t="s">
        <v>440</v>
      </c>
      <c r="F391" t="s">
        <v>585</v>
      </c>
      <c r="G391" t="s">
        <v>1118</v>
      </c>
    </row>
    <row r="392" spans="1:7" x14ac:dyDescent="0.3">
      <c r="A392" t="s">
        <v>1357</v>
      </c>
      <c r="B392" t="s">
        <v>49</v>
      </c>
      <c r="C392" t="s">
        <v>50</v>
      </c>
      <c r="D392" t="s">
        <v>1123</v>
      </c>
      <c r="E392" t="s">
        <v>119</v>
      </c>
      <c r="F392" t="s">
        <v>586</v>
      </c>
      <c r="G392" t="s">
        <v>1118</v>
      </c>
    </row>
    <row r="393" spans="1:7" x14ac:dyDescent="0.3">
      <c r="A393" t="s">
        <v>1529</v>
      </c>
      <c r="B393" t="s">
        <v>76</v>
      </c>
      <c r="C393" t="s">
        <v>80</v>
      </c>
      <c r="D393" t="s">
        <v>700</v>
      </c>
      <c r="E393" t="s">
        <v>563</v>
      </c>
      <c r="F393" t="s">
        <v>587</v>
      </c>
      <c r="G393" t="s">
        <v>1119</v>
      </c>
    </row>
    <row r="394" spans="1:7" x14ac:dyDescent="0.3">
      <c r="A394" t="s">
        <v>1290</v>
      </c>
      <c r="B394" t="s">
        <v>49</v>
      </c>
      <c r="C394" t="s">
        <v>50</v>
      </c>
      <c r="D394" t="s">
        <v>1123</v>
      </c>
      <c r="E394" t="s">
        <v>454</v>
      </c>
      <c r="F394" t="s">
        <v>455</v>
      </c>
      <c r="G394" t="s">
        <v>1121</v>
      </c>
    </row>
    <row r="395" spans="1:7" x14ac:dyDescent="0.3">
      <c r="A395" t="s">
        <v>1323</v>
      </c>
      <c r="B395" t="s">
        <v>41</v>
      </c>
      <c r="C395" t="s">
        <v>73</v>
      </c>
      <c r="D395" t="s">
        <v>1120</v>
      </c>
      <c r="E395" t="s">
        <v>461</v>
      </c>
      <c r="F395" t="s">
        <v>160</v>
      </c>
      <c r="G395" t="s">
        <v>1118</v>
      </c>
    </row>
    <row r="396" spans="1:7" x14ac:dyDescent="0.3">
      <c r="A396" t="s">
        <v>1530</v>
      </c>
      <c r="B396" t="s">
        <v>108</v>
      </c>
      <c r="C396" t="s">
        <v>169</v>
      </c>
      <c r="D396" t="s">
        <v>1123</v>
      </c>
      <c r="E396" t="s">
        <v>588</v>
      </c>
      <c r="F396" t="s">
        <v>589</v>
      </c>
      <c r="G396" t="s">
        <v>1119</v>
      </c>
    </row>
    <row r="397" spans="1:7" x14ac:dyDescent="0.3">
      <c r="A397" t="s">
        <v>1531</v>
      </c>
      <c r="B397" t="s">
        <v>72</v>
      </c>
      <c r="C397" t="s">
        <v>73</v>
      </c>
      <c r="D397" t="s">
        <v>1120</v>
      </c>
      <c r="E397" t="s">
        <v>590</v>
      </c>
      <c r="F397" t="s">
        <v>156</v>
      </c>
      <c r="G397" t="s">
        <v>1118</v>
      </c>
    </row>
    <row r="398" spans="1:7" x14ac:dyDescent="0.3">
      <c r="A398" t="s">
        <v>1349</v>
      </c>
      <c r="B398" t="s">
        <v>76</v>
      </c>
      <c r="C398" t="s">
        <v>80</v>
      </c>
      <c r="D398" t="s">
        <v>1118</v>
      </c>
      <c r="E398" t="s">
        <v>263</v>
      </c>
      <c r="F398" t="s">
        <v>591</v>
      </c>
      <c r="G398" t="s">
        <v>1122</v>
      </c>
    </row>
    <row r="399" spans="1:7" x14ac:dyDescent="0.3">
      <c r="A399" t="s">
        <v>1532</v>
      </c>
      <c r="B399" t="s">
        <v>76</v>
      </c>
      <c r="C399" t="s">
        <v>80</v>
      </c>
      <c r="D399" t="s">
        <v>700</v>
      </c>
      <c r="E399" t="s">
        <v>592</v>
      </c>
      <c r="F399" t="s">
        <v>593</v>
      </c>
      <c r="G399" t="s">
        <v>1118</v>
      </c>
    </row>
    <row r="400" spans="1:7" x14ac:dyDescent="0.3">
      <c r="A400" t="s">
        <v>1533</v>
      </c>
      <c r="B400" t="s">
        <v>27</v>
      </c>
      <c r="C400" t="s">
        <v>34</v>
      </c>
      <c r="D400" t="s">
        <v>1121</v>
      </c>
      <c r="E400" t="s">
        <v>1224</v>
      </c>
      <c r="F400" t="s">
        <v>594</v>
      </c>
      <c r="G400" t="s">
        <v>1119</v>
      </c>
    </row>
    <row r="401" spans="1:7" x14ac:dyDescent="0.3">
      <c r="A401" t="s">
        <v>1452</v>
      </c>
      <c r="B401" t="s">
        <v>41</v>
      </c>
      <c r="C401" t="s">
        <v>42</v>
      </c>
      <c r="D401" t="s">
        <v>1120</v>
      </c>
      <c r="E401" t="s">
        <v>595</v>
      </c>
      <c r="F401" t="s">
        <v>596</v>
      </c>
      <c r="G401" t="s">
        <v>1122</v>
      </c>
    </row>
    <row r="402" spans="1:7" x14ac:dyDescent="0.3">
      <c r="A402" t="s">
        <v>1412</v>
      </c>
      <c r="B402" t="s">
        <v>27</v>
      </c>
      <c r="C402" t="s">
        <v>34</v>
      </c>
      <c r="D402" t="s">
        <v>1123</v>
      </c>
      <c r="E402" t="s">
        <v>597</v>
      </c>
      <c r="F402" t="s">
        <v>210</v>
      </c>
      <c r="G402" t="s">
        <v>1122</v>
      </c>
    </row>
    <row r="403" spans="1:7" x14ac:dyDescent="0.3">
      <c r="A403" t="s">
        <v>1389</v>
      </c>
      <c r="B403" t="s">
        <v>41</v>
      </c>
      <c r="C403" t="s">
        <v>73</v>
      </c>
      <c r="D403" t="s">
        <v>1118</v>
      </c>
      <c r="E403" t="s">
        <v>1180</v>
      </c>
      <c r="F403" t="s">
        <v>497</v>
      </c>
      <c r="G403" t="s">
        <v>1122</v>
      </c>
    </row>
    <row r="404" spans="1:7" x14ac:dyDescent="0.3">
      <c r="A404" t="s">
        <v>1534</v>
      </c>
      <c r="B404" t="s">
        <v>27</v>
      </c>
      <c r="C404" t="s">
        <v>38</v>
      </c>
      <c r="D404" t="s">
        <v>1123</v>
      </c>
      <c r="E404" t="s">
        <v>598</v>
      </c>
      <c r="F404" t="s">
        <v>599</v>
      </c>
      <c r="G404" t="s">
        <v>1119</v>
      </c>
    </row>
    <row r="405" spans="1:7" x14ac:dyDescent="0.3">
      <c r="A405" t="s">
        <v>1535</v>
      </c>
      <c r="B405" t="s">
        <v>372</v>
      </c>
      <c r="C405" t="s">
        <v>131</v>
      </c>
      <c r="D405" t="s">
        <v>1120</v>
      </c>
      <c r="E405" t="s">
        <v>600</v>
      </c>
      <c r="F405" t="s">
        <v>601</v>
      </c>
      <c r="G405" t="s">
        <v>1119</v>
      </c>
    </row>
    <row r="406" spans="1:7" x14ac:dyDescent="0.3">
      <c r="A406" t="s">
        <v>1381</v>
      </c>
      <c r="B406" t="s">
        <v>76</v>
      </c>
      <c r="C406" t="s">
        <v>80</v>
      </c>
      <c r="D406" t="s">
        <v>1118</v>
      </c>
      <c r="E406" t="s">
        <v>602</v>
      </c>
      <c r="F406" t="s">
        <v>603</v>
      </c>
      <c r="G406" t="s">
        <v>1119</v>
      </c>
    </row>
    <row r="407" spans="1:7" x14ac:dyDescent="0.3">
      <c r="A407" t="s">
        <v>1536</v>
      </c>
      <c r="B407" t="s">
        <v>76</v>
      </c>
      <c r="C407" t="s">
        <v>84</v>
      </c>
      <c r="D407" t="s">
        <v>1118</v>
      </c>
      <c r="E407" t="s">
        <v>153</v>
      </c>
      <c r="F407" t="s">
        <v>604</v>
      </c>
      <c r="G407" t="s">
        <v>1122</v>
      </c>
    </row>
    <row r="408" spans="1:7" x14ac:dyDescent="0.3">
      <c r="A408" t="s">
        <v>1537</v>
      </c>
      <c r="B408" t="s">
        <v>49</v>
      </c>
      <c r="C408" t="s">
        <v>50</v>
      </c>
      <c r="D408" t="s">
        <v>1120</v>
      </c>
      <c r="E408" t="s">
        <v>518</v>
      </c>
      <c r="F408" t="s">
        <v>605</v>
      </c>
      <c r="G408" t="s">
        <v>66</v>
      </c>
    </row>
    <row r="409" spans="1:7" x14ac:dyDescent="0.3">
      <c r="A409" t="s">
        <v>1307</v>
      </c>
      <c r="B409" t="s">
        <v>89</v>
      </c>
      <c r="C409" t="s">
        <v>131</v>
      </c>
      <c r="D409" t="s">
        <v>1120</v>
      </c>
      <c r="E409" t="s">
        <v>104</v>
      </c>
      <c r="F409" t="s">
        <v>606</v>
      </c>
      <c r="G409" t="s">
        <v>1119</v>
      </c>
    </row>
    <row r="410" spans="1:7" x14ac:dyDescent="0.3">
      <c r="A410" t="s">
        <v>1538</v>
      </c>
      <c r="B410" t="s">
        <v>60</v>
      </c>
      <c r="C410" t="s">
        <v>61</v>
      </c>
      <c r="D410" t="s">
        <v>1123</v>
      </c>
      <c r="E410" t="s">
        <v>416</v>
      </c>
      <c r="F410" t="s">
        <v>607</v>
      </c>
      <c r="G410" t="s">
        <v>1118</v>
      </c>
    </row>
    <row r="411" spans="1:7" x14ac:dyDescent="0.3">
      <c r="A411" t="s">
        <v>1539</v>
      </c>
      <c r="B411" t="s">
        <v>1150</v>
      </c>
      <c r="C411" t="s">
        <v>38</v>
      </c>
      <c r="D411" t="s">
        <v>1120</v>
      </c>
      <c r="E411" t="s">
        <v>151</v>
      </c>
      <c r="F411" t="s">
        <v>1151</v>
      </c>
      <c r="G411" t="s">
        <v>1122</v>
      </c>
    </row>
    <row r="412" spans="1:7" x14ac:dyDescent="0.3">
      <c r="A412" t="s">
        <v>1362</v>
      </c>
      <c r="B412" t="s">
        <v>41</v>
      </c>
      <c r="C412" t="s">
        <v>42</v>
      </c>
      <c r="D412" t="s">
        <v>1118</v>
      </c>
      <c r="E412" t="s">
        <v>608</v>
      </c>
      <c r="F412" t="s">
        <v>609</v>
      </c>
      <c r="G412" t="s">
        <v>1122</v>
      </c>
    </row>
    <row r="413" spans="1:7" x14ac:dyDescent="0.3">
      <c r="A413" t="s">
        <v>1383</v>
      </c>
      <c r="B413" t="s">
        <v>49</v>
      </c>
      <c r="C413" t="s">
        <v>50</v>
      </c>
      <c r="D413" t="s">
        <v>1118</v>
      </c>
      <c r="E413" t="s">
        <v>610</v>
      </c>
      <c r="F413" t="s">
        <v>611</v>
      </c>
      <c r="G413" t="s">
        <v>1118</v>
      </c>
    </row>
    <row r="414" spans="1:7" x14ac:dyDescent="0.3">
      <c r="A414" t="s">
        <v>1419</v>
      </c>
      <c r="B414" t="s">
        <v>49</v>
      </c>
      <c r="C414" t="s">
        <v>50</v>
      </c>
      <c r="D414" t="s">
        <v>1118</v>
      </c>
      <c r="E414" t="s">
        <v>1177</v>
      </c>
      <c r="F414" t="s">
        <v>612</v>
      </c>
      <c r="G414" t="s">
        <v>1118</v>
      </c>
    </row>
    <row r="415" spans="1:7" x14ac:dyDescent="0.3">
      <c r="A415" t="s">
        <v>1136</v>
      </c>
      <c r="B415" t="s">
        <v>108</v>
      </c>
      <c r="C415" t="s">
        <v>208</v>
      </c>
      <c r="D415" t="s">
        <v>700</v>
      </c>
      <c r="E415" t="s">
        <v>1234</v>
      </c>
      <c r="F415" t="s">
        <v>613</v>
      </c>
      <c r="G415" t="s">
        <v>1121</v>
      </c>
    </row>
    <row r="416" spans="1:7" x14ac:dyDescent="0.3">
      <c r="A416" t="s">
        <v>1540</v>
      </c>
      <c r="B416" t="s">
        <v>27</v>
      </c>
      <c r="C416" t="s">
        <v>34</v>
      </c>
      <c r="D416" t="s">
        <v>700</v>
      </c>
      <c r="E416" t="s">
        <v>536</v>
      </c>
      <c r="F416" t="s">
        <v>614</v>
      </c>
      <c r="G416" t="s">
        <v>1120</v>
      </c>
    </row>
    <row r="417" spans="1:7" x14ac:dyDescent="0.3">
      <c r="A417" t="s">
        <v>1357</v>
      </c>
      <c r="B417" t="s">
        <v>387</v>
      </c>
      <c r="C417" t="s">
        <v>64</v>
      </c>
      <c r="D417" t="s">
        <v>1121</v>
      </c>
      <c r="E417" t="s">
        <v>54</v>
      </c>
      <c r="F417" t="s">
        <v>615</v>
      </c>
      <c r="G417" t="s">
        <v>700</v>
      </c>
    </row>
    <row r="418" spans="1:7" x14ac:dyDescent="0.3">
      <c r="A418" t="s">
        <v>1349</v>
      </c>
      <c r="B418" t="s">
        <v>41</v>
      </c>
      <c r="C418" t="s">
        <v>46</v>
      </c>
      <c r="D418" t="s">
        <v>1118</v>
      </c>
      <c r="E418" t="s">
        <v>128</v>
      </c>
      <c r="F418" t="s">
        <v>616</v>
      </c>
      <c r="G418" t="s">
        <v>1119</v>
      </c>
    </row>
    <row r="419" spans="1:7" x14ac:dyDescent="0.3">
      <c r="A419" t="s">
        <v>1541</v>
      </c>
      <c r="B419" t="s">
        <v>76</v>
      </c>
      <c r="C419" t="s">
        <v>84</v>
      </c>
      <c r="D419" t="s">
        <v>1120</v>
      </c>
      <c r="E419" t="s">
        <v>598</v>
      </c>
      <c r="F419" t="s">
        <v>534</v>
      </c>
      <c r="G419" t="s">
        <v>1119</v>
      </c>
    </row>
    <row r="420" spans="1:7" x14ac:dyDescent="0.3">
      <c r="A420" t="s">
        <v>1542</v>
      </c>
      <c r="B420" t="s">
        <v>76</v>
      </c>
      <c r="C420" t="s">
        <v>84</v>
      </c>
      <c r="D420" t="s">
        <v>1118</v>
      </c>
      <c r="E420" t="s">
        <v>617</v>
      </c>
      <c r="F420" t="s">
        <v>552</v>
      </c>
      <c r="G420" t="s">
        <v>1122</v>
      </c>
    </row>
    <row r="421" spans="1:7" x14ac:dyDescent="0.3">
      <c r="A421" t="s">
        <v>1543</v>
      </c>
      <c r="B421" t="s">
        <v>49</v>
      </c>
      <c r="C421" t="s">
        <v>52</v>
      </c>
      <c r="D421" t="s">
        <v>700</v>
      </c>
      <c r="E421" t="s">
        <v>618</v>
      </c>
      <c r="F421" t="s">
        <v>589</v>
      </c>
      <c r="G421" t="s">
        <v>1120</v>
      </c>
    </row>
    <row r="422" spans="1:7" x14ac:dyDescent="0.3">
      <c r="A422" t="s">
        <v>1544</v>
      </c>
      <c r="B422" t="s">
        <v>27</v>
      </c>
      <c r="C422" t="s">
        <v>31</v>
      </c>
      <c r="D422" t="s">
        <v>1118</v>
      </c>
      <c r="E422" t="s">
        <v>619</v>
      </c>
      <c r="F422" t="s">
        <v>97</v>
      </c>
      <c r="G422" t="s">
        <v>1122</v>
      </c>
    </row>
    <row r="423" spans="1:7" x14ac:dyDescent="0.3">
      <c r="A423" t="s">
        <v>1520</v>
      </c>
      <c r="B423" t="s">
        <v>49</v>
      </c>
      <c r="C423" t="s">
        <v>52</v>
      </c>
      <c r="D423" t="s">
        <v>1121</v>
      </c>
      <c r="E423" t="s">
        <v>368</v>
      </c>
      <c r="F423" t="s">
        <v>620</v>
      </c>
      <c r="G423" t="s">
        <v>1121</v>
      </c>
    </row>
    <row r="424" spans="1:7" x14ac:dyDescent="0.3">
      <c r="A424" t="s">
        <v>1295</v>
      </c>
      <c r="B424" t="s">
        <v>621</v>
      </c>
      <c r="C424" t="s">
        <v>57</v>
      </c>
      <c r="D424" t="s">
        <v>1121</v>
      </c>
      <c r="E424" t="s">
        <v>622</v>
      </c>
      <c r="F424" t="s">
        <v>623</v>
      </c>
      <c r="G424" t="s">
        <v>1121</v>
      </c>
    </row>
    <row r="425" spans="1:7" x14ac:dyDescent="0.3">
      <c r="A425" t="s">
        <v>1545</v>
      </c>
      <c r="B425" t="s">
        <v>27</v>
      </c>
      <c r="C425" t="s">
        <v>38</v>
      </c>
      <c r="D425" t="s">
        <v>1118</v>
      </c>
      <c r="E425" t="s">
        <v>624</v>
      </c>
      <c r="F425" t="s">
        <v>625</v>
      </c>
      <c r="G425" t="s">
        <v>1122</v>
      </c>
    </row>
    <row r="426" spans="1:7" x14ac:dyDescent="0.3">
      <c r="A426" t="s">
        <v>1299</v>
      </c>
      <c r="B426" t="s">
        <v>108</v>
      </c>
      <c r="C426" t="s">
        <v>109</v>
      </c>
      <c r="D426" t="s">
        <v>1121</v>
      </c>
      <c r="E426" t="s">
        <v>279</v>
      </c>
      <c r="F426" t="s">
        <v>503</v>
      </c>
      <c r="G426" t="s">
        <v>1122</v>
      </c>
    </row>
    <row r="427" spans="1:7" x14ac:dyDescent="0.3">
      <c r="A427" t="s">
        <v>1546</v>
      </c>
      <c r="B427" t="s">
        <v>41</v>
      </c>
      <c r="C427" t="s">
        <v>46</v>
      </c>
      <c r="D427" t="s">
        <v>700</v>
      </c>
      <c r="E427" t="s">
        <v>626</v>
      </c>
      <c r="F427" t="s">
        <v>627</v>
      </c>
      <c r="G427" t="s">
        <v>1122</v>
      </c>
    </row>
    <row r="428" spans="1:7" x14ac:dyDescent="0.3">
      <c r="A428" t="s">
        <v>1511</v>
      </c>
      <c r="B428" t="s">
        <v>76</v>
      </c>
      <c r="C428" t="s">
        <v>77</v>
      </c>
      <c r="D428" t="s">
        <v>700</v>
      </c>
      <c r="E428" t="s">
        <v>1235</v>
      </c>
      <c r="F428" t="s">
        <v>628</v>
      </c>
      <c r="G428" t="s">
        <v>1120</v>
      </c>
    </row>
    <row r="429" spans="1:7" x14ac:dyDescent="0.3">
      <c r="A429" t="s">
        <v>1547</v>
      </c>
      <c r="B429" t="s">
        <v>49</v>
      </c>
      <c r="C429" t="s">
        <v>50</v>
      </c>
      <c r="D429" t="s">
        <v>700</v>
      </c>
      <c r="E429" t="s">
        <v>212</v>
      </c>
      <c r="F429" t="s">
        <v>629</v>
      </c>
      <c r="G429" t="s">
        <v>1122</v>
      </c>
    </row>
    <row r="430" spans="1:7" x14ac:dyDescent="0.3">
      <c r="A430" t="s">
        <v>1464</v>
      </c>
      <c r="B430" t="s">
        <v>60</v>
      </c>
      <c r="C430" t="s">
        <v>61</v>
      </c>
      <c r="D430" t="s">
        <v>700</v>
      </c>
      <c r="E430" t="s">
        <v>87</v>
      </c>
      <c r="F430" t="s">
        <v>630</v>
      </c>
      <c r="G430" t="s">
        <v>66</v>
      </c>
    </row>
    <row r="431" spans="1:7" x14ac:dyDescent="0.3">
      <c r="A431" t="s">
        <v>1340</v>
      </c>
      <c r="B431" t="s">
        <v>108</v>
      </c>
      <c r="C431" t="s">
        <v>169</v>
      </c>
      <c r="D431" t="s">
        <v>1123</v>
      </c>
      <c r="E431" t="s">
        <v>631</v>
      </c>
      <c r="F431" t="s">
        <v>632</v>
      </c>
      <c r="G431" t="s">
        <v>1122</v>
      </c>
    </row>
    <row r="432" spans="1:7" x14ac:dyDescent="0.3">
      <c r="A432" t="s">
        <v>1548</v>
      </c>
      <c r="B432" t="s">
        <v>93</v>
      </c>
      <c r="C432" t="s">
        <v>101</v>
      </c>
      <c r="D432" t="s">
        <v>700</v>
      </c>
      <c r="E432" t="s">
        <v>66</v>
      </c>
      <c r="F432" t="s">
        <v>1236</v>
      </c>
      <c r="G432" t="s">
        <v>1118</v>
      </c>
    </row>
    <row r="433" spans="1:7" x14ac:dyDescent="0.3">
      <c r="A433" t="s">
        <v>1327</v>
      </c>
      <c r="B433" t="s">
        <v>76</v>
      </c>
      <c r="C433" t="s">
        <v>80</v>
      </c>
      <c r="D433" t="s">
        <v>1123</v>
      </c>
      <c r="E433" t="s">
        <v>188</v>
      </c>
      <c r="F433" t="s">
        <v>633</v>
      </c>
      <c r="G433" t="s">
        <v>1122</v>
      </c>
    </row>
    <row r="434" spans="1:7" x14ac:dyDescent="0.3">
      <c r="A434" t="s">
        <v>1453</v>
      </c>
      <c r="B434" t="s">
        <v>41</v>
      </c>
      <c r="C434" t="s">
        <v>42</v>
      </c>
      <c r="D434" t="s">
        <v>1120</v>
      </c>
      <c r="E434" t="s">
        <v>1223</v>
      </c>
      <c r="F434" t="s">
        <v>192</v>
      </c>
      <c r="G434" t="s">
        <v>1118</v>
      </c>
    </row>
    <row r="435" spans="1:7" x14ac:dyDescent="0.3">
      <c r="A435" t="s">
        <v>1491</v>
      </c>
      <c r="B435" t="s">
        <v>1152</v>
      </c>
      <c r="C435" t="s">
        <v>77</v>
      </c>
      <c r="D435" t="s">
        <v>1118</v>
      </c>
      <c r="E435" t="s">
        <v>664</v>
      </c>
      <c r="F435" t="s">
        <v>919</v>
      </c>
      <c r="G435" t="s">
        <v>1118</v>
      </c>
    </row>
    <row r="436" spans="1:7" x14ac:dyDescent="0.3">
      <c r="A436" t="s">
        <v>1466</v>
      </c>
      <c r="B436" t="s">
        <v>76</v>
      </c>
      <c r="C436" t="s">
        <v>84</v>
      </c>
      <c r="D436" t="s">
        <v>1118</v>
      </c>
      <c r="E436" t="s">
        <v>330</v>
      </c>
      <c r="F436" t="s">
        <v>634</v>
      </c>
      <c r="G436" t="s">
        <v>1122</v>
      </c>
    </row>
    <row r="437" spans="1:7" x14ac:dyDescent="0.3">
      <c r="A437" t="s">
        <v>1549</v>
      </c>
      <c r="B437" t="s">
        <v>41</v>
      </c>
      <c r="C437" t="s">
        <v>46</v>
      </c>
      <c r="D437" t="s">
        <v>1121</v>
      </c>
      <c r="E437" t="s">
        <v>110</v>
      </c>
      <c r="F437" t="s">
        <v>635</v>
      </c>
      <c r="G437" t="s">
        <v>1118</v>
      </c>
    </row>
    <row r="438" spans="1:7" x14ac:dyDescent="0.3">
      <c r="A438" t="s">
        <v>1541</v>
      </c>
      <c r="B438" t="s">
        <v>93</v>
      </c>
      <c r="C438" t="s">
        <v>101</v>
      </c>
      <c r="D438" t="s">
        <v>1120</v>
      </c>
      <c r="E438" t="s">
        <v>551</v>
      </c>
      <c r="F438" t="s">
        <v>636</v>
      </c>
      <c r="G438" t="s">
        <v>1121</v>
      </c>
    </row>
    <row r="439" spans="1:7" x14ac:dyDescent="0.3">
      <c r="A439" t="s">
        <v>1550</v>
      </c>
      <c r="B439" t="s">
        <v>41</v>
      </c>
      <c r="C439" t="s">
        <v>42</v>
      </c>
      <c r="D439" t="s">
        <v>1120</v>
      </c>
      <c r="E439" t="s">
        <v>382</v>
      </c>
      <c r="F439" t="s">
        <v>1237</v>
      </c>
      <c r="G439" t="s">
        <v>1119</v>
      </c>
    </row>
    <row r="440" spans="1:7" x14ac:dyDescent="0.3">
      <c r="A440" t="s">
        <v>1551</v>
      </c>
      <c r="B440" t="s">
        <v>41</v>
      </c>
      <c r="C440" t="s">
        <v>46</v>
      </c>
      <c r="D440" t="s">
        <v>700</v>
      </c>
      <c r="E440" t="s">
        <v>1238</v>
      </c>
      <c r="F440" t="s">
        <v>637</v>
      </c>
      <c r="G440" t="s">
        <v>1118</v>
      </c>
    </row>
    <row r="441" spans="1:7" x14ac:dyDescent="0.3">
      <c r="A441" t="s">
        <v>1491</v>
      </c>
      <c r="B441" t="s">
        <v>108</v>
      </c>
      <c r="C441" t="s">
        <v>169</v>
      </c>
      <c r="D441" t="s">
        <v>1120</v>
      </c>
      <c r="E441" t="s">
        <v>638</v>
      </c>
      <c r="F441" t="s">
        <v>639</v>
      </c>
      <c r="G441" t="s">
        <v>1122</v>
      </c>
    </row>
    <row r="442" spans="1:7" x14ac:dyDescent="0.3">
      <c r="A442" t="s">
        <v>1402</v>
      </c>
      <c r="B442" t="s">
        <v>108</v>
      </c>
      <c r="C442" t="s">
        <v>169</v>
      </c>
      <c r="D442" t="s">
        <v>1118</v>
      </c>
      <c r="E442" t="s">
        <v>640</v>
      </c>
      <c r="F442" t="s">
        <v>98</v>
      </c>
      <c r="G442" t="s">
        <v>1122</v>
      </c>
    </row>
    <row r="443" spans="1:7" x14ac:dyDescent="0.3">
      <c r="A443" t="s">
        <v>1357</v>
      </c>
      <c r="B443" t="s">
        <v>89</v>
      </c>
      <c r="C443" t="s">
        <v>90</v>
      </c>
      <c r="D443" t="s">
        <v>700</v>
      </c>
      <c r="E443" t="s">
        <v>641</v>
      </c>
      <c r="F443" t="s">
        <v>642</v>
      </c>
      <c r="G443" t="s">
        <v>1122</v>
      </c>
    </row>
    <row r="444" spans="1:7" x14ac:dyDescent="0.3">
      <c r="A444" t="s">
        <v>1327</v>
      </c>
      <c r="B444" t="s">
        <v>93</v>
      </c>
      <c r="C444" t="s">
        <v>57</v>
      </c>
      <c r="D444" t="s">
        <v>1123</v>
      </c>
      <c r="E444" t="s">
        <v>537</v>
      </c>
      <c r="F444" t="s">
        <v>643</v>
      </c>
      <c r="G444" t="s">
        <v>1120</v>
      </c>
    </row>
    <row r="445" spans="1:7" x14ac:dyDescent="0.3">
      <c r="A445" t="s">
        <v>1552</v>
      </c>
      <c r="B445" t="s">
        <v>27</v>
      </c>
      <c r="C445" t="s">
        <v>28</v>
      </c>
      <c r="D445" t="s">
        <v>700</v>
      </c>
      <c r="E445" t="s">
        <v>644</v>
      </c>
      <c r="F445" t="s">
        <v>645</v>
      </c>
      <c r="G445" t="s">
        <v>1121</v>
      </c>
    </row>
    <row r="446" spans="1:7" x14ac:dyDescent="0.3">
      <c r="A446" t="s">
        <v>1408</v>
      </c>
      <c r="B446" t="s">
        <v>93</v>
      </c>
      <c r="C446" t="s">
        <v>57</v>
      </c>
      <c r="D446" t="s">
        <v>700</v>
      </c>
      <c r="E446" t="s">
        <v>646</v>
      </c>
      <c r="F446" t="s">
        <v>647</v>
      </c>
      <c r="G446" t="s">
        <v>1118</v>
      </c>
    </row>
    <row r="447" spans="1:7" x14ac:dyDescent="0.3">
      <c r="A447" t="s">
        <v>1340</v>
      </c>
      <c r="B447" t="s">
        <v>76</v>
      </c>
      <c r="C447" t="s">
        <v>84</v>
      </c>
      <c r="D447" t="s">
        <v>1120</v>
      </c>
      <c r="E447" t="s">
        <v>506</v>
      </c>
      <c r="F447" t="s">
        <v>648</v>
      </c>
      <c r="G447" t="s">
        <v>1118</v>
      </c>
    </row>
    <row r="448" spans="1:7" x14ac:dyDescent="0.3">
      <c r="A448" t="s">
        <v>1371</v>
      </c>
      <c r="B448" t="s">
        <v>89</v>
      </c>
      <c r="C448" t="s">
        <v>90</v>
      </c>
      <c r="D448" t="s">
        <v>700</v>
      </c>
      <c r="E448" t="s">
        <v>281</v>
      </c>
      <c r="F448" t="s">
        <v>649</v>
      </c>
      <c r="G448" t="s">
        <v>1121</v>
      </c>
    </row>
    <row r="449" spans="1:7" x14ac:dyDescent="0.3">
      <c r="A449" t="s">
        <v>1420</v>
      </c>
      <c r="B449" t="s">
        <v>76</v>
      </c>
      <c r="C449" t="s">
        <v>80</v>
      </c>
      <c r="D449" t="s">
        <v>700</v>
      </c>
      <c r="E449" t="s">
        <v>650</v>
      </c>
      <c r="F449" t="s">
        <v>213</v>
      </c>
      <c r="G449" t="s">
        <v>1122</v>
      </c>
    </row>
    <row r="450" spans="1:7" x14ac:dyDescent="0.3">
      <c r="A450" t="s">
        <v>1329</v>
      </c>
      <c r="B450" t="s">
        <v>93</v>
      </c>
      <c r="C450" t="s">
        <v>57</v>
      </c>
      <c r="D450" t="s">
        <v>700</v>
      </c>
      <c r="E450" t="s">
        <v>651</v>
      </c>
      <c r="F450" t="s">
        <v>652</v>
      </c>
      <c r="G450" t="s">
        <v>1121</v>
      </c>
    </row>
    <row r="451" spans="1:7" x14ac:dyDescent="0.3">
      <c r="A451" t="s">
        <v>1553</v>
      </c>
      <c r="B451" t="s">
        <v>27</v>
      </c>
      <c r="C451" t="s">
        <v>34</v>
      </c>
      <c r="D451" t="s">
        <v>700</v>
      </c>
      <c r="E451" t="s">
        <v>653</v>
      </c>
      <c r="F451" t="s">
        <v>654</v>
      </c>
      <c r="G451" t="s">
        <v>1118</v>
      </c>
    </row>
    <row r="452" spans="1:7" x14ac:dyDescent="0.3">
      <c r="A452" t="s">
        <v>1347</v>
      </c>
      <c r="B452" t="s">
        <v>89</v>
      </c>
      <c r="C452" t="s">
        <v>131</v>
      </c>
      <c r="D452" t="s">
        <v>1121</v>
      </c>
      <c r="E452" t="s">
        <v>70</v>
      </c>
      <c r="F452" t="s">
        <v>1239</v>
      </c>
      <c r="G452" t="s">
        <v>1122</v>
      </c>
    </row>
    <row r="453" spans="1:7" x14ac:dyDescent="0.3">
      <c r="A453" t="s">
        <v>1548</v>
      </c>
      <c r="B453" t="s">
        <v>49</v>
      </c>
      <c r="C453" t="s">
        <v>52</v>
      </c>
      <c r="D453" t="s">
        <v>1121</v>
      </c>
      <c r="E453" t="s">
        <v>39</v>
      </c>
      <c r="F453" t="s">
        <v>655</v>
      </c>
      <c r="G453" t="s">
        <v>1118</v>
      </c>
    </row>
    <row r="454" spans="1:7" x14ac:dyDescent="0.3">
      <c r="A454" t="s">
        <v>1554</v>
      </c>
      <c r="B454" t="s">
        <v>49</v>
      </c>
      <c r="C454" t="s">
        <v>52</v>
      </c>
      <c r="D454" t="s">
        <v>1121</v>
      </c>
      <c r="E454" t="s">
        <v>1183</v>
      </c>
      <c r="F454" t="s">
        <v>1240</v>
      </c>
      <c r="G454" t="s">
        <v>1120</v>
      </c>
    </row>
    <row r="455" spans="1:7" x14ac:dyDescent="0.3">
      <c r="A455" t="s">
        <v>1346</v>
      </c>
      <c r="B455" t="s">
        <v>60</v>
      </c>
      <c r="C455" t="s">
        <v>61</v>
      </c>
      <c r="D455" t="s">
        <v>1121</v>
      </c>
      <c r="E455" t="s">
        <v>608</v>
      </c>
      <c r="F455" t="s">
        <v>656</v>
      </c>
      <c r="G455" t="s">
        <v>1118</v>
      </c>
    </row>
    <row r="456" spans="1:7" x14ac:dyDescent="0.3">
      <c r="A456" t="s">
        <v>1555</v>
      </c>
      <c r="B456" t="s">
        <v>93</v>
      </c>
      <c r="C456" t="s">
        <v>101</v>
      </c>
      <c r="D456" t="s">
        <v>1118</v>
      </c>
      <c r="E456" t="s">
        <v>53</v>
      </c>
      <c r="F456" t="s">
        <v>219</v>
      </c>
      <c r="G456" t="s">
        <v>1119</v>
      </c>
    </row>
    <row r="457" spans="1:7" x14ac:dyDescent="0.3">
      <c r="A457" t="s">
        <v>1517</v>
      </c>
      <c r="B457" t="s">
        <v>60</v>
      </c>
      <c r="C457" t="s">
        <v>69</v>
      </c>
      <c r="D457" t="s">
        <v>1123</v>
      </c>
      <c r="E457" t="s">
        <v>137</v>
      </c>
      <c r="F457" t="s">
        <v>657</v>
      </c>
      <c r="G457" t="s">
        <v>1123</v>
      </c>
    </row>
    <row r="458" spans="1:7" x14ac:dyDescent="0.3">
      <c r="A458" t="s">
        <v>1486</v>
      </c>
      <c r="B458" t="s">
        <v>76</v>
      </c>
      <c r="C458" t="s">
        <v>77</v>
      </c>
      <c r="D458" t="s">
        <v>1121</v>
      </c>
      <c r="E458" t="s">
        <v>492</v>
      </c>
      <c r="F458" t="s">
        <v>658</v>
      </c>
      <c r="G458" t="s">
        <v>1122</v>
      </c>
    </row>
    <row r="459" spans="1:7" x14ac:dyDescent="0.3">
      <c r="A459" t="s">
        <v>1341</v>
      </c>
      <c r="B459" t="s">
        <v>27</v>
      </c>
      <c r="C459" t="s">
        <v>28</v>
      </c>
      <c r="D459" t="s">
        <v>1120</v>
      </c>
      <c r="E459" t="s">
        <v>659</v>
      </c>
      <c r="F459" t="s">
        <v>660</v>
      </c>
      <c r="G459" t="s">
        <v>1119</v>
      </c>
    </row>
    <row r="460" spans="1:7" x14ac:dyDescent="0.3">
      <c r="A460" t="s">
        <v>1533</v>
      </c>
      <c r="B460" t="s">
        <v>76</v>
      </c>
      <c r="C460" t="s">
        <v>77</v>
      </c>
      <c r="D460" t="s">
        <v>1121</v>
      </c>
      <c r="E460" t="s">
        <v>65</v>
      </c>
      <c r="F460" t="s">
        <v>661</v>
      </c>
      <c r="G460" t="s">
        <v>1119</v>
      </c>
    </row>
    <row r="461" spans="1:7" x14ac:dyDescent="0.3">
      <c r="A461" t="s">
        <v>1341</v>
      </c>
      <c r="B461" t="s">
        <v>89</v>
      </c>
      <c r="C461" t="s">
        <v>90</v>
      </c>
      <c r="D461" t="s">
        <v>1118</v>
      </c>
      <c r="E461" t="s">
        <v>330</v>
      </c>
      <c r="F461" t="s">
        <v>662</v>
      </c>
      <c r="G461" t="s">
        <v>1119</v>
      </c>
    </row>
    <row r="462" spans="1:7" x14ac:dyDescent="0.3">
      <c r="A462" t="s">
        <v>1556</v>
      </c>
      <c r="B462" t="s">
        <v>60</v>
      </c>
      <c r="C462" t="s">
        <v>61</v>
      </c>
      <c r="D462" t="s">
        <v>1121</v>
      </c>
      <c r="E462" t="s">
        <v>1241</v>
      </c>
      <c r="F462" t="s">
        <v>663</v>
      </c>
      <c r="G462" t="s">
        <v>1119</v>
      </c>
    </row>
    <row r="463" spans="1:7" x14ac:dyDescent="0.3">
      <c r="A463" t="s">
        <v>1417</v>
      </c>
      <c r="B463" t="s">
        <v>41</v>
      </c>
      <c r="C463" t="s">
        <v>46</v>
      </c>
      <c r="D463" t="s">
        <v>1118</v>
      </c>
      <c r="E463" t="s">
        <v>664</v>
      </c>
      <c r="F463" t="s">
        <v>288</v>
      </c>
      <c r="G463" t="s">
        <v>1122</v>
      </c>
    </row>
    <row r="464" spans="1:7" x14ac:dyDescent="0.3">
      <c r="A464" t="s">
        <v>1557</v>
      </c>
      <c r="B464" t="s">
        <v>76</v>
      </c>
      <c r="C464" t="s">
        <v>84</v>
      </c>
      <c r="D464" t="s">
        <v>1118</v>
      </c>
      <c r="E464" t="s">
        <v>298</v>
      </c>
      <c r="F464" t="s">
        <v>1242</v>
      </c>
      <c r="G464" t="s">
        <v>1119</v>
      </c>
    </row>
    <row r="465" spans="1:7" x14ac:dyDescent="0.3">
      <c r="A465" t="s">
        <v>1320</v>
      </c>
      <c r="B465" t="s">
        <v>41</v>
      </c>
      <c r="C465" t="s">
        <v>42</v>
      </c>
      <c r="D465" t="s">
        <v>700</v>
      </c>
      <c r="E465" t="s">
        <v>665</v>
      </c>
      <c r="F465" t="s">
        <v>66</v>
      </c>
      <c r="G465" t="s">
        <v>1120</v>
      </c>
    </row>
    <row r="466" spans="1:7" x14ac:dyDescent="0.3">
      <c r="A466" t="s">
        <v>1346</v>
      </c>
      <c r="B466" t="s">
        <v>89</v>
      </c>
      <c r="C466" t="s">
        <v>131</v>
      </c>
      <c r="D466" t="s">
        <v>1120</v>
      </c>
      <c r="E466" t="s">
        <v>226</v>
      </c>
      <c r="F466" t="s">
        <v>154</v>
      </c>
      <c r="G466" t="s">
        <v>1121</v>
      </c>
    </row>
    <row r="467" spans="1:7" x14ac:dyDescent="0.3">
      <c r="A467" t="s">
        <v>1558</v>
      </c>
      <c r="B467" t="s">
        <v>108</v>
      </c>
      <c r="C467" t="s">
        <v>109</v>
      </c>
      <c r="D467" t="s">
        <v>1120</v>
      </c>
      <c r="E467" t="s">
        <v>666</v>
      </c>
      <c r="F467" t="s">
        <v>667</v>
      </c>
      <c r="G467" t="s">
        <v>1118</v>
      </c>
    </row>
    <row r="468" spans="1:7" x14ac:dyDescent="0.3">
      <c r="A468" t="s">
        <v>1502</v>
      </c>
      <c r="B468" t="s">
        <v>49</v>
      </c>
      <c r="C468" t="s">
        <v>50</v>
      </c>
      <c r="D468" t="s">
        <v>700</v>
      </c>
      <c r="E468" t="s">
        <v>561</v>
      </c>
      <c r="F468" t="s">
        <v>668</v>
      </c>
      <c r="G468" t="s">
        <v>1119</v>
      </c>
    </row>
    <row r="469" spans="1:7" x14ac:dyDescent="0.3">
      <c r="A469" t="s">
        <v>1475</v>
      </c>
      <c r="B469" t="s">
        <v>60</v>
      </c>
      <c r="C469" t="s">
        <v>64</v>
      </c>
      <c r="D469" t="s">
        <v>1123</v>
      </c>
      <c r="E469" t="s">
        <v>332</v>
      </c>
      <c r="F469" t="s">
        <v>669</v>
      </c>
      <c r="G469" t="s">
        <v>1118</v>
      </c>
    </row>
    <row r="470" spans="1:7" x14ac:dyDescent="0.3">
      <c r="A470" t="s">
        <v>1492</v>
      </c>
      <c r="B470" t="s">
        <v>76</v>
      </c>
      <c r="C470" t="s">
        <v>84</v>
      </c>
      <c r="D470" t="s">
        <v>700</v>
      </c>
      <c r="E470" t="s">
        <v>670</v>
      </c>
      <c r="F470" t="s">
        <v>433</v>
      </c>
      <c r="G470" t="s">
        <v>1122</v>
      </c>
    </row>
    <row r="471" spans="1:7" x14ac:dyDescent="0.3">
      <c r="A471" t="s">
        <v>1493</v>
      </c>
      <c r="B471" t="s">
        <v>60</v>
      </c>
      <c r="C471" t="s">
        <v>69</v>
      </c>
      <c r="D471" t="s">
        <v>1118</v>
      </c>
      <c r="E471" t="s">
        <v>501</v>
      </c>
      <c r="F471" t="s">
        <v>671</v>
      </c>
      <c r="G471" t="s">
        <v>1121</v>
      </c>
    </row>
    <row r="472" spans="1:7" x14ac:dyDescent="0.3">
      <c r="A472" t="s">
        <v>1346</v>
      </c>
      <c r="B472" t="s">
        <v>27</v>
      </c>
      <c r="C472" t="s">
        <v>28</v>
      </c>
      <c r="D472" t="s">
        <v>1118</v>
      </c>
      <c r="E472" t="s">
        <v>672</v>
      </c>
      <c r="F472" t="s">
        <v>294</v>
      </c>
      <c r="G472" t="s">
        <v>1119</v>
      </c>
    </row>
    <row r="473" spans="1:7" x14ac:dyDescent="0.3">
      <c r="A473" t="s">
        <v>1559</v>
      </c>
      <c r="B473" t="s">
        <v>27</v>
      </c>
      <c r="C473" t="s">
        <v>38</v>
      </c>
      <c r="D473" t="s">
        <v>1118</v>
      </c>
      <c r="E473" t="s">
        <v>673</v>
      </c>
      <c r="F473" t="s">
        <v>674</v>
      </c>
      <c r="G473" t="s">
        <v>1121</v>
      </c>
    </row>
    <row r="474" spans="1:7" x14ac:dyDescent="0.3">
      <c r="A474" t="s">
        <v>1560</v>
      </c>
      <c r="B474" t="s">
        <v>49</v>
      </c>
      <c r="C474" t="s">
        <v>50</v>
      </c>
      <c r="D474" t="s">
        <v>1120</v>
      </c>
      <c r="E474" t="s">
        <v>675</v>
      </c>
      <c r="F474" t="s">
        <v>676</v>
      </c>
      <c r="G474" t="s">
        <v>1121</v>
      </c>
    </row>
    <row r="475" spans="1:7" x14ac:dyDescent="0.3">
      <c r="A475" t="s">
        <v>1290</v>
      </c>
      <c r="B475" t="s">
        <v>49</v>
      </c>
      <c r="C475" t="s">
        <v>50</v>
      </c>
      <c r="D475" t="s">
        <v>1120</v>
      </c>
      <c r="E475" t="s">
        <v>174</v>
      </c>
      <c r="F475" t="s">
        <v>677</v>
      </c>
      <c r="G475" t="s">
        <v>1118</v>
      </c>
    </row>
    <row r="476" spans="1:7" x14ac:dyDescent="0.3">
      <c r="A476" t="s">
        <v>1561</v>
      </c>
      <c r="B476" t="s">
        <v>89</v>
      </c>
      <c r="C476" t="s">
        <v>131</v>
      </c>
      <c r="D476" t="s">
        <v>1121</v>
      </c>
      <c r="E476" t="s">
        <v>74</v>
      </c>
      <c r="F476" t="s">
        <v>678</v>
      </c>
      <c r="G476" t="s">
        <v>1118</v>
      </c>
    </row>
    <row r="477" spans="1:7" x14ac:dyDescent="0.3">
      <c r="A477" t="s">
        <v>1465</v>
      </c>
      <c r="B477" t="s">
        <v>60</v>
      </c>
      <c r="C477" t="s">
        <v>64</v>
      </c>
      <c r="D477" t="s">
        <v>1118</v>
      </c>
      <c r="E477" t="s">
        <v>513</v>
      </c>
      <c r="F477" t="s">
        <v>679</v>
      </c>
      <c r="G477" t="s">
        <v>1121</v>
      </c>
    </row>
    <row r="478" spans="1:7" x14ac:dyDescent="0.3">
      <c r="A478" t="s">
        <v>1562</v>
      </c>
      <c r="B478" t="s">
        <v>76</v>
      </c>
      <c r="C478" t="s">
        <v>77</v>
      </c>
      <c r="D478" t="s">
        <v>1120</v>
      </c>
      <c r="E478" t="s">
        <v>85</v>
      </c>
      <c r="F478" t="s">
        <v>1243</v>
      </c>
      <c r="G478" t="s">
        <v>1122</v>
      </c>
    </row>
    <row r="479" spans="1:7" x14ac:dyDescent="0.3">
      <c r="A479" t="s">
        <v>1563</v>
      </c>
      <c r="B479" t="s">
        <v>108</v>
      </c>
      <c r="C479" t="s">
        <v>109</v>
      </c>
      <c r="D479" t="s">
        <v>1120</v>
      </c>
      <c r="E479" t="s">
        <v>506</v>
      </c>
      <c r="F479" t="s">
        <v>680</v>
      </c>
      <c r="G479" t="s">
        <v>1118</v>
      </c>
    </row>
    <row r="480" spans="1:7" x14ac:dyDescent="0.3">
      <c r="A480" t="s">
        <v>1564</v>
      </c>
      <c r="B480" t="s">
        <v>312</v>
      </c>
      <c r="C480" t="s">
        <v>80</v>
      </c>
      <c r="D480" t="s">
        <v>1120</v>
      </c>
      <c r="E480" t="s">
        <v>303</v>
      </c>
      <c r="F480" t="s">
        <v>681</v>
      </c>
      <c r="G480" t="s">
        <v>1118</v>
      </c>
    </row>
    <row r="481" spans="1:7" x14ac:dyDescent="0.3">
      <c r="A481" t="s">
        <v>1462</v>
      </c>
      <c r="B481" t="s">
        <v>60</v>
      </c>
      <c r="C481" t="s">
        <v>61</v>
      </c>
      <c r="D481" t="s">
        <v>1118</v>
      </c>
      <c r="E481" t="s">
        <v>682</v>
      </c>
      <c r="F481" t="s">
        <v>187</v>
      </c>
      <c r="G481" t="s">
        <v>1121</v>
      </c>
    </row>
    <row r="482" spans="1:7" x14ac:dyDescent="0.3">
      <c r="A482" t="s">
        <v>1367</v>
      </c>
      <c r="B482" t="s">
        <v>41</v>
      </c>
      <c r="C482" t="s">
        <v>46</v>
      </c>
      <c r="D482" t="s">
        <v>700</v>
      </c>
      <c r="E482" t="s">
        <v>143</v>
      </c>
      <c r="F482" t="s">
        <v>683</v>
      </c>
      <c r="G482" t="s">
        <v>1122</v>
      </c>
    </row>
    <row r="483" spans="1:7" x14ac:dyDescent="0.3">
      <c r="A483" t="s">
        <v>1346</v>
      </c>
      <c r="B483" t="s">
        <v>76</v>
      </c>
      <c r="C483" t="s">
        <v>77</v>
      </c>
      <c r="D483" t="s">
        <v>1121</v>
      </c>
      <c r="E483" t="s">
        <v>406</v>
      </c>
      <c r="F483" t="s">
        <v>1244</v>
      </c>
      <c r="G483" t="s">
        <v>1119</v>
      </c>
    </row>
    <row r="484" spans="1:7" x14ac:dyDescent="0.3">
      <c r="A484" t="s">
        <v>1399</v>
      </c>
      <c r="B484" t="s">
        <v>41</v>
      </c>
      <c r="C484" t="s">
        <v>46</v>
      </c>
      <c r="D484" t="s">
        <v>1118</v>
      </c>
      <c r="E484" t="s">
        <v>130</v>
      </c>
      <c r="F484" t="s">
        <v>175</v>
      </c>
      <c r="G484" t="s">
        <v>66</v>
      </c>
    </row>
    <row r="485" spans="1:7" x14ac:dyDescent="0.3">
      <c r="A485" t="s">
        <v>1496</v>
      </c>
      <c r="B485" t="s">
        <v>89</v>
      </c>
      <c r="C485" t="s">
        <v>131</v>
      </c>
      <c r="D485" t="s">
        <v>1120</v>
      </c>
      <c r="E485" t="s">
        <v>684</v>
      </c>
      <c r="F485" t="s">
        <v>1245</v>
      </c>
      <c r="G485" t="s">
        <v>1122</v>
      </c>
    </row>
    <row r="486" spans="1:7" x14ac:dyDescent="0.3">
      <c r="A486" t="s">
        <v>1565</v>
      </c>
      <c r="B486" t="s">
        <v>49</v>
      </c>
      <c r="C486" t="s">
        <v>52</v>
      </c>
      <c r="D486" t="s">
        <v>1120</v>
      </c>
      <c r="E486" t="s">
        <v>672</v>
      </c>
      <c r="F486" t="s">
        <v>685</v>
      </c>
      <c r="G486" t="s">
        <v>1118</v>
      </c>
    </row>
    <row r="487" spans="1:7" x14ac:dyDescent="0.3">
      <c r="A487" t="s">
        <v>1453</v>
      </c>
      <c r="B487" t="s">
        <v>49</v>
      </c>
      <c r="C487" t="s">
        <v>50</v>
      </c>
      <c r="D487" t="s">
        <v>1118</v>
      </c>
      <c r="E487" t="s">
        <v>265</v>
      </c>
      <c r="F487" t="s">
        <v>686</v>
      </c>
      <c r="G487" t="s">
        <v>1123</v>
      </c>
    </row>
    <row r="488" spans="1:7" x14ac:dyDescent="0.3">
      <c r="A488" t="s">
        <v>1566</v>
      </c>
      <c r="B488" t="s">
        <v>76</v>
      </c>
      <c r="C488" t="s">
        <v>77</v>
      </c>
      <c r="D488" t="s">
        <v>1120</v>
      </c>
      <c r="E488" t="s">
        <v>1204</v>
      </c>
      <c r="F488" t="s">
        <v>687</v>
      </c>
      <c r="G488" t="s">
        <v>1122</v>
      </c>
    </row>
    <row r="489" spans="1:7" x14ac:dyDescent="0.3">
      <c r="A489" t="s">
        <v>1567</v>
      </c>
      <c r="B489" t="s">
        <v>60</v>
      </c>
      <c r="C489" t="s">
        <v>61</v>
      </c>
      <c r="D489" t="s">
        <v>1121</v>
      </c>
      <c r="E489" t="s">
        <v>66</v>
      </c>
      <c r="F489" t="s">
        <v>688</v>
      </c>
      <c r="G489" t="s">
        <v>1120</v>
      </c>
    </row>
    <row r="490" spans="1:7" x14ac:dyDescent="0.3">
      <c r="A490" t="s">
        <v>1392</v>
      </c>
      <c r="B490" t="s">
        <v>93</v>
      </c>
      <c r="C490" t="s">
        <v>101</v>
      </c>
      <c r="D490" t="s">
        <v>1121</v>
      </c>
      <c r="E490" t="s">
        <v>689</v>
      </c>
      <c r="F490" t="s">
        <v>690</v>
      </c>
      <c r="G490" t="s">
        <v>853</v>
      </c>
    </row>
    <row r="491" spans="1:7" x14ac:dyDescent="0.3">
      <c r="A491" t="s">
        <v>1396</v>
      </c>
      <c r="B491" t="s">
        <v>76</v>
      </c>
      <c r="C491" t="s">
        <v>84</v>
      </c>
      <c r="D491" t="s">
        <v>1121</v>
      </c>
      <c r="E491" t="s">
        <v>1222</v>
      </c>
      <c r="F491" t="s">
        <v>1246</v>
      </c>
      <c r="G491" t="s">
        <v>1119</v>
      </c>
    </row>
    <row r="492" spans="1:7" x14ac:dyDescent="0.3">
      <c r="A492" t="s">
        <v>1523</v>
      </c>
      <c r="B492" t="s">
        <v>93</v>
      </c>
      <c r="C492" t="s">
        <v>57</v>
      </c>
      <c r="D492" t="s">
        <v>700</v>
      </c>
      <c r="E492" t="s">
        <v>691</v>
      </c>
      <c r="F492" t="s">
        <v>692</v>
      </c>
      <c r="G492" t="s">
        <v>1119</v>
      </c>
    </row>
    <row r="493" spans="1:7" x14ac:dyDescent="0.3">
      <c r="A493" t="s">
        <v>1511</v>
      </c>
      <c r="B493" t="s">
        <v>76</v>
      </c>
      <c r="C493" t="s">
        <v>77</v>
      </c>
      <c r="D493" t="s">
        <v>1123</v>
      </c>
      <c r="E493" t="s">
        <v>693</v>
      </c>
      <c r="F493" t="s">
        <v>676</v>
      </c>
      <c r="G493" t="s">
        <v>1118</v>
      </c>
    </row>
    <row r="494" spans="1:7" x14ac:dyDescent="0.3">
      <c r="A494" t="s">
        <v>1568</v>
      </c>
      <c r="B494" t="s">
        <v>60</v>
      </c>
      <c r="C494" t="s">
        <v>61</v>
      </c>
      <c r="D494" t="s">
        <v>1121</v>
      </c>
      <c r="E494" t="s">
        <v>1184</v>
      </c>
      <c r="F494" t="s">
        <v>390</v>
      </c>
      <c r="G494" t="s">
        <v>1121</v>
      </c>
    </row>
    <row r="495" spans="1:7" x14ac:dyDescent="0.3">
      <c r="A495" t="s">
        <v>1360</v>
      </c>
      <c r="B495" t="s">
        <v>27</v>
      </c>
      <c r="C495" t="s">
        <v>34</v>
      </c>
      <c r="D495" t="s">
        <v>700</v>
      </c>
      <c r="E495" t="s">
        <v>694</v>
      </c>
      <c r="F495" t="s">
        <v>695</v>
      </c>
      <c r="G495" t="s">
        <v>1121</v>
      </c>
    </row>
    <row r="496" spans="1:7" x14ac:dyDescent="0.3">
      <c r="A496" t="s">
        <v>1569</v>
      </c>
      <c r="B496" t="s">
        <v>41</v>
      </c>
      <c r="C496" t="s">
        <v>73</v>
      </c>
      <c r="D496" t="s">
        <v>1118</v>
      </c>
      <c r="E496" t="s">
        <v>153</v>
      </c>
      <c r="F496" t="s">
        <v>696</v>
      </c>
      <c r="G496" t="s">
        <v>1118</v>
      </c>
    </row>
    <row r="497" spans="1:7" x14ac:dyDescent="0.3">
      <c r="A497" t="s">
        <v>1546</v>
      </c>
      <c r="B497" t="s">
        <v>108</v>
      </c>
      <c r="C497" t="s">
        <v>109</v>
      </c>
      <c r="D497" t="s">
        <v>1120</v>
      </c>
      <c r="E497" t="s">
        <v>325</v>
      </c>
      <c r="F497" t="s">
        <v>697</v>
      </c>
      <c r="G497" t="s">
        <v>1118</v>
      </c>
    </row>
    <row r="498" spans="1:7" x14ac:dyDescent="0.3">
      <c r="A498" t="s">
        <v>1407</v>
      </c>
      <c r="B498" t="s">
        <v>41</v>
      </c>
      <c r="C498" t="s">
        <v>73</v>
      </c>
      <c r="D498" t="s">
        <v>1121</v>
      </c>
      <c r="E498" t="s">
        <v>698</v>
      </c>
      <c r="F498" t="s">
        <v>688</v>
      </c>
      <c r="G498" t="s">
        <v>1121</v>
      </c>
    </row>
    <row r="499" spans="1:7" x14ac:dyDescent="0.3">
      <c r="A499" t="s">
        <v>1497</v>
      </c>
      <c r="B499" t="s">
        <v>108</v>
      </c>
      <c r="C499" t="s">
        <v>109</v>
      </c>
      <c r="D499" t="s">
        <v>1121</v>
      </c>
      <c r="E499" t="s">
        <v>448</v>
      </c>
      <c r="F499" t="s">
        <v>699</v>
      </c>
      <c r="G499" t="s">
        <v>1118</v>
      </c>
    </row>
    <row r="500" spans="1:7" x14ac:dyDescent="0.3">
      <c r="A500" t="s">
        <v>1355</v>
      </c>
      <c r="B500" t="s">
        <v>93</v>
      </c>
      <c r="C500" t="s">
        <v>101</v>
      </c>
      <c r="D500" t="s">
        <v>1118</v>
      </c>
      <c r="E500" t="s">
        <v>1247</v>
      </c>
      <c r="F500" t="s">
        <v>701</v>
      </c>
      <c r="G500" t="s">
        <v>1118</v>
      </c>
    </row>
    <row r="501" spans="1:7" x14ac:dyDescent="0.3">
      <c r="A501" t="s">
        <v>1434</v>
      </c>
      <c r="B501" t="s">
        <v>111</v>
      </c>
      <c r="C501" t="s">
        <v>69</v>
      </c>
      <c r="D501" t="s">
        <v>1123</v>
      </c>
      <c r="E501" t="s">
        <v>211</v>
      </c>
      <c r="F501" t="s">
        <v>1248</v>
      </c>
      <c r="G501" t="s">
        <v>1121</v>
      </c>
    </row>
    <row r="502" spans="1:7" x14ac:dyDescent="0.3">
      <c r="A502" t="s">
        <v>1570</v>
      </c>
      <c r="B502" t="s">
        <v>27</v>
      </c>
      <c r="C502" t="s">
        <v>28</v>
      </c>
      <c r="D502" t="s">
        <v>1120</v>
      </c>
      <c r="E502" t="s">
        <v>176</v>
      </c>
      <c r="F502" t="s">
        <v>702</v>
      </c>
      <c r="G502" t="s">
        <v>1122</v>
      </c>
    </row>
    <row r="503" spans="1:7" x14ac:dyDescent="0.3">
      <c r="A503" t="s">
        <v>1571</v>
      </c>
      <c r="B503" t="s">
        <v>93</v>
      </c>
      <c r="C503" t="s">
        <v>57</v>
      </c>
      <c r="D503" t="s">
        <v>700</v>
      </c>
      <c r="E503" t="s">
        <v>1186</v>
      </c>
      <c r="F503" t="s">
        <v>703</v>
      </c>
      <c r="G503" t="s">
        <v>1121</v>
      </c>
    </row>
    <row r="504" spans="1:7" x14ac:dyDescent="0.3">
      <c r="A504" t="s">
        <v>1572</v>
      </c>
      <c r="B504" t="s">
        <v>108</v>
      </c>
      <c r="C504" t="s">
        <v>109</v>
      </c>
      <c r="D504" t="s">
        <v>1121</v>
      </c>
      <c r="E504" t="s">
        <v>704</v>
      </c>
      <c r="F504" t="s">
        <v>705</v>
      </c>
      <c r="G504" t="s">
        <v>1119</v>
      </c>
    </row>
    <row r="505" spans="1:7" x14ac:dyDescent="0.3">
      <c r="A505" t="s">
        <v>1573</v>
      </c>
      <c r="B505" t="s">
        <v>108</v>
      </c>
      <c r="C505" t="s">
        <v>208</v>
      </c>
      <c r="D505" t="s">
        <v>1120</v>
      </c>
      <c r="E505" t="s">
        <v>359</v>
      </c>
      <c r="F505" t="s">
        <v>1249</v>
      </c>
      <c r="G505" t="s">
        <v>1122</v>
      </c>
    </row>
    <row r="506" spans="1:7" x14ac:dyDescent="0.3">
      <c r="A506" t="s">
        <v>1574</v>
      </c>
      <c r="B506" t="s">
        <v>60</v>
      </c>
      <c r="C506" t="s">
        <v>69</v>
      </c>
      <c r="D506" t="s">
        <v>1120</v>
      </c>
      <c r="E506" t="s">
        <v>1199</v>
      </c>
      <c r="F506" t="s">
        <v>706</v>
      </c>
      <c r="G506" t="s">
        <v>1118</v>
      </c>
    </row>
    <row r="507" spans="1:7" x14ac:dyDescent="0.3">
      <c r="A507" t="s">
        <v>1345</v>
      </c>
      <c r="B507" t="s">
        <v>60</v>
      </c>
      <c r="C507" t="s">
        <v>64</v>
      </c>
      <c r="D507" t="s">
        <v>1118</v>
      </c>
      <c r="E507" t="s">
        <v>707</v>
      </c>
      <c r="F507" t="s">
        <v>708</v>
      </c>
      <c r="G507" t="s">
        <v>1118</v>
      </c>
    </row>
    <row r="508" spans="1:7" x14ac:dyDescent="0.3">
      <c r="A508" t="s">
        <v>1400</v>
      </c>
      <c r="B508" t="s">
        <v>108</v>
      </c>
      <c r="C508" t="s">
        <v>109</v>
      </c>
      <c r="D508" t="s">
        <v>1123</v>
      </c>
      <c r="E508" t="s">
        <v>709</v>
      </c>
      <c r="F508" t="s">
        <v>710</v>
      </c>
      <c r="G508" t="s">
        <v>1119</v>
      </c>
    </row>
    <row r="509" spans="1:7" x14ac:dyDescent="0.3">
      <c r="A509" t="s">
        <v>1479</v>
      </c>
      <c r="B509" t="s">
        <v>89</v>
      </c>
      <c r="C509" t="s">
        <v>131</v>
      </c>
      <c r="D509" t="s">
        <v>1121</v>
      </c>
      <c r="E509" t="s">
        <v>664</v>
      </c>
      <c r="F509" t="s">
        <v>711</v>
      </c>
      <c r="G509" t="s">
        <v>1120</v>
      </c>
    </row>
    <row r="510" spans="1:7" x14ac:dyDescent="0.3">
      <c r="A510" t="s">
        <v>1409</v>
      </c>
      <c r="B510" t="s">
        <v>108</v>
      </c>
      <c r="C510" t="s">
        <v>109</v>
      </c>
      <c r="D510" t="s">
        <v>1121</v>
      </c>
      <c r="E510" t="s">
        <v>712</v>
      </c>
      <c r="F510" t="s">
        <v>713</v>
      </c>
      <c r="G510" t="s">
        <v>1119</v>
      </c>
    </row>
    <row r="511" spans="1:7" x14ac:dyDescent="0.3">
      <c r="A511" t="s">
        <v>1575</v>
      </c>
      <c r="B511" t="s">
        <v>89</v>
      </c>
      <c r="C511" t="s">
        <v>131</v>
      </c>
      <c r="D511" t="s">
        <v>1121</v>
      </c>
      <c r="E511" t="s">
        <v>1211</v>
      </c>
      <c r="F511" t="s">
        <v>714</v>
      </c>
      <c r="G511" t="s">
        <v>1118</v>
      </c>
    </row>
    <row r="512" spans="1:7" x14ac:dyDescent="0.3">
      <c r="A512" t="s">
        <v>1576</v>
      </c>
      <c r="B512" t="s">
        <v>113</v>
      </c>
      <c r="C512" t="s">
        <v>38</v>
      </c>
      <c r="D512" t="s">
        <v>700</v>
      </c>
      <c r="E512" t="s">
        <v>434</v>
      </c>
      <c r="F512" t="s">
        <v>715</v>
      </c>
      <c r="G512" t="s">
        <v>1122</v>
      </c>
    </row>
    <row r="513" spans="1:7" x14ac:dyDescent="0.3">
      <c r="A513" t="s">
        <v>1577</v>
      </c>
      <c r="B513" t="s">
        <v>27</v>
      </c>
      <c r="C513" t="s">
        <v>34</v>
      </c>
      <c r="D513" t="s">
        <v>1123</v>
      </c>
      <c r="E513" t="s">
        <v>659</v>
      </c>
      <c r="F513" t="s">
        <v>431</v>
      </c>
      <c r="G513" t="s">
        <v>1122</v>
      </c>
    </row>
    <row r="514" spans="1:7" x14ac:dyDescent="0.3">
      <c r="A514" t="s">
        <v>1578</v>
      </c>
      <c r="B514" t="s">
        <v>49</v>
      </c>
      <c r="C514" t="s">
        <v>50</v>
      </c>
      <c r="D514" t="s">
        <v>1120</v>
      </c>
      <c r="E514" t="s">
        <v>1186</v>
      </c>
      <c r="F514" t="s">
        <v>716</v>
      </c>
      <c r="G514" t="s">
        <v>1118</v>
      </c>
    </row>
    <row r="515" spans="1:7" x14ac:dyDescent="0.3">
      <c r="A515" t="s">
        <v>1463</v>
      </c>
      <c r="B515" t="s">
        <v>76</v>
      </c>
      <c r="C515" t="s">
        <v>84</v>
      </c>
      <c r="D515" t="s">
        <v>1120</v>
      </c>
      <c r="E515" t="s">
        <v>1216</v>
      </c>
      <c r="F515" t="s">
        <v>717</v>
      </c>
      <c r="G515" t="s">
        <v>1122</v>
      </c>
    </row>
    <row r="516" spans="1:7" x14ac:dyDescent="0.3">
      <c r="A516" t="s">
        <v>1579</v>
      </c>
      <c r="B516" t="s">
        <v>60</v>
      </c>
      <c r="C516" t="s">
        <v>64</v>
      </c>
      <c r="D516" t="s">
        <v>1123</v>
      </c>
      <c r="E516" t="s">
        <v>1216</v>
      </c>
      <c r="F516" t="s">
        <v>718</v>
      </c>
      <c r="G516" t="s">
        <v>1120</v>
      </c>
    </row>
    <row r="517" spans="1:7" x14ac:dyDescent="0.3">
      <c r="A517" t="s">
        <v>1373</v>
      </c>
      <c r="B517" t="s">
        <v>60</v>
      </c>
      <c r="C517" t="s">
        <v>64</v>
      </c>
      <c r="D517" t="s">
        <v>1121</v>
      </c>
      <c r="E517" t="s">
        <v>368</v>
      </c>
      <c r="F517" t="s">
        <v>719</v>
      </c>
      <c r="G517" t="s">
        <v>1118</v>
      </c>
    </row>
    <row r="518" spans="1:7" x14ac:dyDescent="0.3">
      <c r="A518" t="s">
        <v>1533</v>
      </c>
      <c r="B518" t="s">
        <v>60</v>
      </c>
      <c r="C518" t="s">
        <v>64</v>
      </c>
      <c r="D518" t="s">
        <v>700</v>
      </c>
      <c r="E518" t="s">
        <v>720</v>
      </c>
      <c r="F518" t="s">
        <v>721</v>
      </c>
      <c r="G518" t="s">
        <v>1118</v>
      </c>
    </row>
    <row r="519" spans="1:7" x14ac:dyDescent="0.3">
      <c r="A519" t="s">
        <v>1463</v>
      </c>
      <c r="B519" t="s">
        <v>108</v>
      </c>
      <c r="C519" t="s">
        <v>169</v>
      </c>
      <c r="D519" t="s">
        <v>700</v>
      </c>
      <c r="E519" t="s">
        <v>722</v>
      </c>
      <c r="F519" t="s">
        <v>1250</v>
      </c>
      <c r="G519" t="s">
        <v>1122</v>
      </c>
    </row>
    <row r="520" spans="1:7" x14ac:dyDescent="0.3">
      <c r="A520" t="s">
        <v>1389</v>
      </c>
      <c r="B520" t="s">
        <v>49</v>
      </c>
      <c r="C520" t="s">
        <v>50</v>
      </c>
      <c r="D520" t="s">
        <v>1118</v>
      </c>
      <c r="E520" t="s">
        <v>53</v>
      </c>
      <c r="F520" t="s">
        <v>723</v>
      </c>
      <c r="G520" t="s">
        <v>1121</v>
      </c>
    </row>
    <row r="521" spans="1:7" x14ac:dyDescent="0.3">
      <c r="A521" t="s">
        <v>1313</v>
      </c>
      <c r="B521" t="s">
        <v>93</v>
      </c>
      <c r="C521" t="s">
        <v>101</v>
      </c>
      <c r="D521" t="s">
        <v>1118</v>
      </c>
      <c r="E521" t="s">
        <v>96</v>
      </c>
      <c r="F521" t="s">
        <v>724</v>
      </c>
      <c r="G521" t="s">
        <v>1121</v>
      </c>
    </row>
    <row r="522" spans="1:7" x14ac:dyDescent="0.3">
      <c r="A522" t="s">
        <v>1425</v>
      </c>
      <c r="B522" t="s">
        <v>76</v>
      </c>
      <c r="C522" t="s">
        <v>84</v>
      </c>
      <c r="D522" t="s">
        <v>700</v>
      </c>
      <c r="E522" t="s">
        <v>725</v>
      </c>
      <c r="F522" t="s">
        <v>726</v>
      </c>
      <c r="G522" t="s">
        <v>1118</v>
      </c>
    </row>
    <row r="523" spans="1:7" x14ac:dyDescent="0.3">
      <c r="A523" t="s">
        <v>1580</v>
      </c>
      <c r="B523" t="s">
        <v>89</v>
      </c>
      <c r="C523" t="s">
        <v>131</v>
      </c>
      <c r="D523" t="s">
        <v>1123</v>
      </c>
      <c r="E523" t="s">
        <v>359</v>
      </c>
      <c r="F523" t="s">
        <v>521</v>
      </c>
      <c r="G523" t="s">
        <v>1118</v>
      </c>
    </row>
    <row r="524" spans="1:7" x14ac:dyDescent="0.3">
      <c r="A524" t="s">
        <v>1581</v>
      </c>
      <c r="B524" t="s">
        <v>76</v>
      </c>
      <c r="C524" t="s">
        <v>84</v>
      </c>
      <c r="D524" t="s">
        <v>1120</v>
      </c>
      <c r="E524" t="s">
        <v>722</v>
      </c>
      <c r="F524" t="s">
        <v>1251</v>
      </c>
      <c r="G524" t="s">
        <v>1119</v>
      </c>
    </row>
    <row r="525" spans="1:7" x14ac:dyDescent="0.3">
      <c r="A525" t="s">
        <v>1508</v>
      </c>
      <c r="B525" t="s">
        <v>49</v>
      </c>
      <c r="C525" t="s">
        <v>50</v>
      </c>
      <c r="D525" t="s">
        <v>1120</v>
      </c>
      <c r="E525" t="s">
        <v>193</v>
      </c>
      <c r="F525" t="s">
        <v>727</v>
      </c>
      <c r="G525" t="s">
        <v>1118</v>
      </c>
    </row>
    <row r="526" spans="1:7" x14ac:dyDescent="0.3">
      <c r="A526" t="s">
        <v>1582</v>
      </c>
      <c r="B526" t="s">
        <v>108</v>
      </c>
      <c r="C526" t="s">
        <v>109</v>
      </c>
      <c r="D526" t="s">
        <v>1118</v>
      </c>
      <c r="E526" t="s">
        <v>728</v>
      </c>
      <c r="F526" t="s">
        <v>729</v>
      </c>
      <c r="G526" t="s">
        <v>1122</v>
      </c>
    </row>
    <row r="527" spans="1:7" x14ac:dyDescent="0.3">
      <c r="A527" t="s">
        <v>1583</v>
      </c>
      <c r="B527" t="s">
        <v>27</v>
      </c>
      <c r="C527" t="s">
        <v>31</v>
      </c>
      <c r="D527" t="s">
        <v>1121</v>
      </c>
      <c r="E527" t="s">
        <v>730</v>
      </c>
      <c r="F527" t="s">
        <v>731</v>
      </c>
      <c r="G527" t="s">
        <v>1118</v>
      </c>
    </row>
    <row r="528" spans="1:7" x14ac:dyDescent="0.3">
      <c r="A528" t="s">
        <v>1325</v>
      </c>
      <c r="B528" t="s">
        <v>49</v>
      </c>
      <c r="C528" t="s">
        <v>50</v>
      </c>
      <c r="D528" t="s">
        <v>1121</v>
      </c>
      <c r="E528" t="s">
        <v>689</v>
      </c>
      <c r="F528" t="s">
        <v>732</v>
      </c>
      <c r="G528" t="s">
        <v>1122</v>
      </c>
    </row>
    <row r="529" spans="1:7" x14ac:dyDescent="0.3">
      <c r="A529" t="s">
        <v>1344</v>
      </c>
      <c r="B529" t="s">
        <v>41</v>
      </c>
      <c r="C529" t="s">
        <v>73</v>
      </c>
      <c r="D529" t="s">
        <v>1121</v>
      </c>
      <c r="E529" t="s">
        <v>161</v>
      </c>
      <c r="F529" t="s">
        <v>162</v>
      </c>
      <c r="G529" t="s">
        <v>1122</v>
      </c>
    </row>
    <row r="530" spans="1:7" x14ac:dyDescent="0.3">
      <c r="A530" t="s">
        <v>1326</v>
      </c>
      <c r="B530" t="s">
        <v>76</v>
      </c>
      <c r="C530" t="s">
        <v>84</v>
      </c>
      <c r="D530" t="s">
        <v>1123</v>
      </c>
      <c r="E530" t="s">
        <v>1181</v>
      </c>
      <c r="F530" t="s">
        <v>733</v>
      </c>
      <c r="G530" t="s">
        <v>1118</v>
      </c>
    </row>
    <row r="531" spans="1:7" x14ac:dyDescent="0.3">
      <c r="A531" t="s">
        <v>1307</v>
      </c>
      <c r="B531" t="s">
        <v>27</v>
      </c>
      <c r="C531" t="s">
        <v>31</v>
      </c>
      <c r="D531" t="s">
        <v>700</v>
      </c>
      <c r="E531" t="s">
        <v>734</v>
      </c>
      <c r="F531" t="s">
        <v>735</v>
      </c>
      <c r="G531" t="s">
        <v>1122</v>
      </c>
    </row>
    <row r="532" spans="1:7" x14ac:dyDescent="0.3">
      <c r="A532" t="s">
        <v>1493</v>
      </c>
      <c r="B532" t="s">
        <v>27</v>
      </c>
      <c r="C532" t="s">
        <v>28</v>
      </c>
      <c r="D532" t="s">
        <v>1121</v>
      </c>
      <c r="E532" t="s">
        <v>406</v>
      </c>
      <c r="F532" t="s">
        <v>66</v>
      </c>
      <c r="G532" t="s">
        <v>1122</v>
      </c>
    </row>
    <row r="533" spans="1:7" x14ac:dyDescent="0.3">
      <c r="A533" t="s">
        <v>1523</v>
      </c>
      <c r="B533" t="s">
        <v>76</v>
      </c>
      <c r="C533" t="s">
        <v>80</v>
      </c>
      <c r="D533" t="s">
        <v>1120</v>
      </c>
      <c r="E533" t="s">
        <v>590</v>
      </c>
      <c r="F533" t="s">
        <v>736</v>
      </c>
      <c r="G533" t="s">
        <v>1122</v>
      </c>
    </row>
    <row r="534" spans="1:7" x14ac:dyDescent="0.3">
      <c r="A534" t="s">
        <v>1460</v>
      </c>
      <c r="B534" t="s">
        <v>76</v>
      </c>
      <c r="C534" t="s">
        <v>80</v>
      </c>
      <c r="D534" t="s">
        <v>1118</v>
      </c>
      <c r="E534" t="s">
        <v>1183</v>
      </c>
      <c r="F534" t="s">
        <v>737</v>
      </c>
      <c r="G534" t="s">
        <v>1119</v>
      </c>
    </row>
    <row r="535" spans="1:7" x14ac:dyDescent="0.3">
      <c r="A535" t="s">
        <v>1577</v>
      </c>
      <c r="B535" t="s">
        <v>49</v>
      </c>
      <c r="C535" t="s">
        <v>52</v>
      </c>
      <c r="D535" t="s">
        <v>1123</v>
      </c>
      <c r="E535" t="s">
        <v>448</v>
      </c>
      <c r="F535" t="s">
        <v>66</v>
      </c>
      <c r="G535" t="s">
        <v>1118</v>
      </c>
    </row>
    <row r="536" spans="1:7" x14ac:dyDescent="0.3">
      <c r="A536" t="s">
        <v>1345</v>
      </c>
      <c r="B536" t="s">
        <v>41</v>
      </c>
      <c r="C536" t="s">
        <v>46</v>
      </c>
      <c r="D536" t="s">
        <v>1120</v>
      </c>
      <c r="E536" t="s">
        <v>738</v>
      </c>
      <c r="F536" t="s">
        <v>739</v>
      </c>
      <c r="G536" t="s">
        <v>1119</v>
      </c>
    </row>
    <row r="537" spans="1:7" x14ac:dyDescent="0.3">
      <c r="A537" t="s">
        <v>1584</v>
      </c>
      <c r="B537" t="s">
        <v>76</v>
      </c>
      <c r="C537" t="s">
        <v>80</v>
      </c>
      <c r="D537" t="s">
        <v>1118</v>
      </c>
      <c r="E537" t="s">
        <v>1175</v>
      </c>
      <c r="F537" t="s">
        <v>1252</v>
      </c>
      <c r="G537" t="s">
        <v>1122</v>
      </c>
    </row>
    <row r="538" spans="1:7" x14ac:dyDescent="0.3">
      <c r="A538" t="s">
        <v>1585</v>
      </c>
      <c r="B538" t="s">
        <v>27</v>
      </c>
      <c r="C538" t="s">
        <v>31</v>
      </c>
      <c r="D538" t="s">
        <v>1123</v>
      </c>
      <c r="E538" t="s">
        <v>725</v>
      </c>
      <c r="F538" t="s">
        <v>740</v>
      </c>
      <c r="G538" t="s">
        <v>1122</v>
      </c>
    </row>
    <row r="539" spans="1:7" x14ac:dyDescent="0.3">
      <c r="A539" t="s">
        <v>1586</v>
      </c>
      <c r="B539" t="s">
        <v>108</v>
      </c>
      <c r="C539" t="s">
        <v>169</v>
      </c>
      <c r="D539" t="s">
        <v>700</v>
      </c>
      <c r="E539" t="s">
        <v>413</v>
      </c>
      <c r="F539" t="s">
        <v>741</v>
      </c>
      <c r="G539" t="s">
        <v>1118</v>
      </c>
    </row>
    <row r="540" spans="1:7" x14ac:dyDescent="0.3">
      <c r="A540" t="s">
        <v>1137</v>
      </c>
      <c r="B540" t="s">
        <v>76</v>
      </c>
      <c r="C540" t="s">
        <v>80</v>
      </c>
      <c r="D540" t="s">
        <v>1120</v>
      </c>
      <c r="E540" t="s">
        <v>161</v>
      </c>
      <c r="F540" t="s">
        <v>534</v>
      </c>
      <c r="G540" t="s">
        <v>1122</v>
      </c>
    </row>
    <row r="541" spans="1:7" x14ac:dyDescent="0.3">
      <c r="A541" t="s">
        <v>1587</v>
      </c>
      <c r="B541" t="s">
        <v>49</v>
      </c>
      <c r="C541" t="s">
        <v>66</v>
      </c>
      <c r="D541" t="s">
        <v>1123</v>
      </c>
      <c r="E541" t="s">
        <v>273</v>
      </c>
      <c r="F541" t="s">
        <v>742</v>
      </c>
      <c r="G541" t="s">
        <v>1119</v>
      </c>
    </row>
    <row r="542" spans="1:7" x14ac:dyDescent="0.3">
      <c r="A542" t="s">
        <v>1432</v>
      </c>
      <c r="B542" t="s">
        <v>60</v>
      </c>
      <c r="C542" t="s">
        <v>61</v>
      </c>
      <c r="D542" t="s">
        <v>1118</v>
      </c>
      <c r="E542" t="s">
        <v>338</v>
      </c>
      <c r="F542" t="s">
        <v>743</v>
      </c>
      <c r="G542" t="s">
        <v>1120</v>
      </c>
    </row>
    <row r="543" spans="1:7" x14ac:dyDescent="0.3">
      <c r="A543" t="s">
        <v>1365</v>
      </c>
      <c r="B543" t="s">
        <v>108</v>
      </c>
      <c r="C543" t="s">
        <v>169</v>
      </c>
      <c r="D543" t="s">
        <v>1121</v>
      </c>
      <c r="E543" t="s">
        <v>1196</v>
      </c>
      <c r="F543" t="s">
        <v>744</v>
      </c>
      <c r="G543" t="s">
        <v>1118</v>
      </c>
    </row>
    <row r="544" spans="1:7" x14ac:dyDescent="0.3">
      <c r="A544" t="s">
        <v>1435</v>
      </c>
      <c r="B544" t="s">
        <v>60</v>
      </c>
      <c r="C544" t="s">
        <v>69</v>
      </c>
      <c r="D544" t="s">
        <v>1118</v>
      </c>
      <c r="E544" t="s">
        <v>745</v>
      </c>
      <c r="F544" t="s">
        <v>746</v>
      </c>
      <c r="G544" t="s">
        <v>117</v>
      </c>
    </row>
    <row r="545" spans="1:7" x14ac:dyDescent="0.3">
      <c r="A545" t="s">
        <v>1588</v>
      </c>
      <c r="B545" t="s">
        <v>60</v>
      </c>
      <c r="C545" t="s">
        <v>61</v>
      </c>
      <c r="D545" t="s">
        <v>1120</v>
      </c>
      <c r="E545" t="s">
        <v>712</v>
      </c>
      <c r="F545" t="s">
        <v>747</v>
      </c>
      <c r="G545" t="s">
        <v>1118</v>
      </c>
    </row>
    <row r="546" spans="1:7" x14ac:dyDescent="0.3">
      <c r="A546" t="s">
        <v>1485</v>
      </c>
      <c r="B546" t="s">
        <v>60</v>
      </c>
      <c r="C546" t="s">
        <v>64</v>
      </c>
      <c r="D546" t="s">
        <v>1120</v>
      </c>
      <c r="E546" t="s">
        <v>224</v>
      </c>
      <c r="F546" t="s">
        <v>748</v>
      </c>
      <c r="G546" t="s">
        <v>1120</v>
      </c>
    </row>
    <row r="547" spans="1:7" x14ac:dyDescent="0.3">
      <c r="A547" t="s">
        <v>1589</v>
      </c>
      <c r="B547" t="s">
        <v>76</v>
      </c>
      <c r="C547" t="s">
        <v>77</v>
      </c>
      <c r="D547" t="s">
        <v>1118</v>
      </c>
      <c r="E547" t="s">
        <v>640</v>
      </c>
      <c r="F547" t="s">
        <v>749</v>
      </c>
      <c r="G547" t="s">
        <v>1119</v>
      </c>
    </row>
    <row r="548" spans="1:7" x14ac:dyDescent="0.3">
      <c r="A548" t="s">
        <v>1298</v>
      </c>
      <c r="B548" t="s">
        <v>27</v>
      </c>
      <c r="C548" t="s">
        <v>38</v>
      </c>
      <c r="D548" t="s">
        <v>1123</v>
      </c>
      <c r="E548" t="s">
        <v>750</v>
      </c>
      <c r="F548" t="s">
        <v>751</v>
      </c>
      <c r="G548" t="s">
        <v>1122</v>
      </c>
    </row>
    <row r="549" spans="1:7" x14ac:dyDescent="0.3">
      <c r="A549" t="s">
        <v>1590</v>
      </c>
      <c r="B549" t="s">
        <v>752</v>
      </c>
      <c r="C549" t="s">
        <v>131</v>
      </c>
      <c r="D549" t="s">
        <v>700</v>
      </c>
      <c r="E549" t="s">
        <v>274</v>
      </c>
      <c r="F549" t="s">
        <v>1253</v>
      </c>
      <c r="G549" t="s">
        <v>1118</v>
      </c>
    </row>
    <row r="550" spans="1:7" x14ac:dyDescent="0.3">
      <c r="A550" t="s">
        <v>1402</v>
      </c>
      <c r="B550" t="s">
        <v>93</v>
      </c>
      <c r="C550" t="s">
        <v>57</v>
      </c>
      <c r="D550" t="s">
        <v>1123</v>
      </c>
      <c r="E550" t="s">
        <v>273</v>
      </c>
      <c r="F550" t="s">
        <v>753</v>
      </c>
      <c r="G550" t="s">
        <v>1122</v>
      </c>
    </row>
    <row r="551" spans="1:7" x14ac:dyDescent="0.3">
      <c r="A551" t="s">
        <v>1301</v>
      </c>
      <c r="B551" t="s">
        <v>76</v>
      </c>
      <c r="C551" t="s">
        <v>84</v>
      </c>
      <c r="D551" t="s">
        <v>1120</v>
      </c>
      <c r="E551" t="s">
        <v>754</v>
      </c>
      <c r="F551" t="s">
        <v>755</v>
      </c>
      <c r="G551" t="s">
        <v>1122</v>
      </c>
    </row>
    <row r="552" spans="1:7" x14ac:dyDescent="0.3">
      <c r="A552" t="s">
        <v>1591</v>
      </c>
      <c r="B552" t="s">
        <v>76</v>
      </c>
      <c r="C552" t="s">
        <v>80</v>
      </c>
      <c r="D552" t="s">
        <v>700</v>
      </c>
      <c r="E552" t="s">
        <v>756</v>
      </c>
      <c r="F552" t="s">
        <v>757</v>
      </c>
      <c r="G552" t="s">
        <v>1119</v>
      </c>
    </row>
    <row r="553" spans="1:7" x14ac:dyDescent="0.3">
      <c r="A553" t="s">
        <v>1321</v>
      </c>
      <c r="B553" t="s">
        <v>41</v>
      </c>
      <c r="C553" t="s">
        <v>46</v>
      </c>
      <c r="D553" t="s">
        <v>1121</v>
      </c>
      <c r="E553" t="s">
        <v>600</v>
      </c>
      <c r="F553" t="s">
        <v>360</v>
      </c>
      <c r="G553" t="s">
        <v>1122</v>
      </c>
    </row>
    <row r="554" spans="1:7" x14ac:dyDescent="0.3">
      <c r="A554" t="s">
        <v>1592</v>
      </c>
      <c r="B554" t="s">
        <v>60</v>
      </c>
      <c r="C554" t="s">
        <v>69</v>
      </c>
      <c r="D554" t="s">
        <v>1120</v>
      </c>
      <c r="E554" t="s">
        <v>454</v>
      </c>
      <c r="F554" t="s">
        <v>498</v>
      </c>
      <c r="G554" t="s">
        <v>1123</v>
      </c>
    </row>
    <row r="555" spans="1:7" x14ac:dyDescent="0.3">
      <c r="A555" t="s">
        <v>1406</v>
      </c>
      <c r="B555" t="s">
        <v>89</v>
      </c>
      <c r="C555" t="s">
        <v>90</v>
      </c>
      <c r="D555" t="s">
        <v>1118</v>
      </c>
      <c r="E555" t="s">
        <v>758</v>
      </c>
      <c r="F555" t="s">
        <v>759</v>
      </c>
      <c r="G555" t="s">
        <v>1119</v>
      </c>
    </row>
    <row r="556" spans="1:7" x14ac:dyDescent="0.3">
      <c r="A556" t="s">
        <v>1531</v>
      </c>
      <c r="B556" t="s">
        <v>49</v>
      </c>
      <c r="C556" t="s">
        <v>50</v>
      </c>
      <c r="D556" t="s">
        <v>1118</v>
      </c>
      <c r="E556" t="s">
        <v>106</v>
      </c>
      <c r="F556" t="s">
        <v>696</v>
      </c>
      <c r="G556" t="s">
        <v>1122</v>
      </c>
    </row>
    <row r="557" spans="1:7" x14ac:dyDescent="0.3">
      <c r="A557" t="s">
        <v>1505</v>
      </c>
      <c r="B557" t="s">
        <v>93</v>
      </c>
      <c r="C557" t="s">
        <v>101</v>
      </c>
      <c r="D557" t="s">
        <v>1120</v>
      </c>
      <c r="E557" t="s">
        <v>293</v>
      </c>
      <c r="F557" t="s">
        <v>760</v>
      </c>
      <c r="G557" t="s">
        <v>1121</v>
      </c>
    </row>
    <row r="558" spans="1:7" x14ac:dyDescent="0.3">
      <c r="A558" t="s">
        <v>1138</v>
      </c>
      <c r="B558" t="s">
        <v>49</v>
      </c>
      <c r="C558" t="s">
        <v>52</v>
      </c>
      <c r="D558" t="s">
        <v>1118</v>
      </c>
      <c r="E558" t="s">
        <v>761</v>
      </c>
      <c r="F558" t="s">
        <v>762</v>
      </c>
      <c r="G558" t="s">
        <v>66</v>
      </c>
    </row>
    <row r="559" spans="1:7" x14ac:dyDescent="0.3">
      <c r="A559" t="s">
        <v>1411</v>
      </c>
      <c r="B559" t="s">
        <v>93</v>
      </c>
      <c r="C559" t="s">
        <v>57</v>
      </c>
      <c r="D559" t="s">
        <v>700</v>
      </c>
      <c r="E559" t="s">
        <v>763</v>
      </c>
      <c r="F559" t="s">
        <v>764</v>
      </c>
      <c r="G559" t="s">
        <v>1118</v>
      </c>
    </row>
    <row r="560" spans="1:7" x14ac:dyDescent="0.3">
      <c r="A560" t="s">
        <v>1412</v>
      </c>
      <c r="B560" t="s">
        <v>49</v>
      </c>
      <c r="C560" t="s">
        <v>50</v>
      </c>
      <c r="D560" t="s">
        <v>1118</v>
      </c>
      <c r="E560" t="s">
        <v>765</v>
      </c>
      <c r="F560" t="s">
        <v>1254</v>
      </c>
      <c r="G560" t="s">
        <v>1121</v>
      </c>
    </row>
    <row r="561" spans="1:7" x14ac:dyDescent="0.3">
      <c r="A561" t="s">
        <v>1593</v>
      </c>
      <c r="B561" t="s">
        <v>76</v>
      </c>
      <c r="C561" t="s">
        <v>77</v>
      </c>
      <c r="D561" t="s">
        <v>1118</v>
      </c>
      <c r="E561" t="s">
        <v>766</v>
      </c>
      <c r="F561" t="s">
        <v>719</v>
      </c>
      <c r="G561" t="s">
        <v>1121</v>
      </c>
    </row>
    <row r="562" spans="1:7" x14ac:dyDescent="0.3">
      <c r="A562" t="s">
        <v>1592</v>
      </c>
      <c r="B562" t="s">
        <v>108</v>
      </c>
      <c r="C562" t="s">
        <v>169</v>
      </c>
      <c r="D562" t="s">
        <v>1118</v>
      </c>
      <c r="E562" t="s">
        <v>766</v>
      </c>
      <c r="F562" t="s">
        <v>1255</v>
      </c>
      <c r="G562" t="s">
        <v>1122</v>
      </c>
    </row>
    <row r="563" spans="1:7" x14ac:dyDescent="0.3">
      <c r="A563" t="s">
        <v>1297</v>
      </c>
      <c r="B563" t="s">
        <v>27</v>
      </c>
      <c r="C563" t="s">
        <v>66</v>
      </c>
      <c r="D563" t="s">
        <v>1121</v>
      </c>
      <c r="E563" t="s">
        <v>226</v>
      </c>
      <c r="F563" t="s">
        <v>767</v>
      </c>
      <c r="G563" t="s">
        <v>1122</v>
      </c>
    </row>
    <row r="564" spans="1:7" x14ac:dyDescent="0.3">
      <c r="A564" t="s">
        <v>1594</v>
      </c>
      <c r="B564" t="s">
        <v>89</v>
      </c>
      <c r="C564" t="s">
        <v>131</v>
      </c>
      <c r="D564" t="s">
        <v>700</v>
      </c>
      <c r="E564" t="s">
        <v>768</v>
      </c>
      <c r="F564" t="s">
        <v>769</v>
      </c>
      <c r="G564" t="s">
        <v>1118</v>
      </c>
    </row>
    <row r="565" spans="1:7" x14ac:dyDescent="0.3">
      <c r="A565" t="s">
        <v>1318</v>
      </c>
      <c r="B565" t="s">
        <v>289</v>
      </c>
      <c r="C565" t="s">
        <v>131</v>
      </c>
      <c r="D565" t="s">
        <v>700</v>
      </c>
      <c r="E565" t="s">
        <v>66</v>
      </c>
      <c r="F565" t="s">
        <v>158</v>
      </c>
      <c r="G565" t="s">
        <v>1118</v>
      </c>
    </row>
    <row r="566" spans="1:7" x14ac:dyDescent="0.3">
      <c r="A566" t="s">
        <v>1376</v>
      </c>
      <c r="B566" t="s">
        <v>89</v>
      </c>
      <c r="C566" t="s">
        <v>131</v>
      </c>
      <c r="D566" t="s">
        <v>1123</v>
      </c>
      <c r="E566" t="s">
        <v>770</v>
      </c>
      <c r="F566" t="s">
        <v>771</v>
      </c>
      <c r="G566" t="s">
        <v>1122</v>
      </c>
    </row>
    <row r="567" spans="1:7" x14ac:dyDescent="0.3">
      <c r="A567" t="s">
        <v>1457</v>
      </c>
      <c r="B567" t="s">
        <v>41</v>
      </c>
      <c r="C567" t="s">
        <v>73</v>
      </c>
      <c r="D567" t="s">
        <v>1120</v>
      </c>
      <c r="E567" t="s">
        <v>772</v>
      </c>
      <c r="F567" t="s">
        <v>773</v>
      </c>
      <c r="G567" t="s">
        <v>1122</v>
      </c>
    </row>
    <row r="568" spans="1:7" x14ac:dyDescent="0.3">
      <c r="A568" t="s">
        <v>1370</v>
      </c>
      <c r="B568" t="s">
        <v>76</v>
      </c>
      <c r="C568" t="s">
        <v>80</v>
      </c>
      <c r="D568" t="s">
        <v>700</v>
      </c>
      <c r="E568" t="s">
        <v>399</v>
      </c>
      <c r="F568" t="s">
        <v>774</v>
      </c>
      <c r="G568" t="s">
        <v>1118</v>
      </c>
    </row>
    <row r="569" spans="1:7" x14ac:dyDescent="0.3">
      <c r="A569" t="s">
        <v>1492</v>
      </c>
      <c r="B569" t="s">
        <v>108</v>
      </c>
      <c r="C569" t="s">
        <v>208</v>
      </c>
      <c r="D569" t="s">
        <v>1120</v>
      </c>
      <c r="E569" t="s">
        <v>220</v>
      </c>
      <c r="F569" t="s">
        <v>775</v>
      </c>
      <c r="G569" t="s">
        <v>1119</v>
      </c>
    </row>
    <row r="570" spans="1:7" x14ac:dyDescent="0.3">
      <c r="A570" t="s">
        <v>1436</v>
      </c>
      <c r="B570" t="s">
        <v>41</v>
      </c>
      <c r="C570" t="s">
        <v>73</v>
      </c>
      <c r="D570" t="s">
        <v>700</v>
      </c>
      <c r="E570" t="s">
        <v>1256</v>
      </c>
      <c r="F570" t="s">
        <v>776</v>
      </c>
      <c r="G570" t="s">
        <v>1121</v>
      </c>
    </row>
    <row r="571" spans="1:7" x14ac:dyDescent="0.3">
      <c r="A571" t="s">
        <v>1595</v>
      </c>
      <c r="B571" t="s">
        <v>72</v>
      </c>
      <c r="C571" t="s">
        <v>66</v>
      </c>
      <c r="D571" t="s">
        <v>1121</v>
      </c>
      <c r="E571" t="s">
        <v>777</v>
      </c>
      <c r="F571" t="s">
        <v>138</v>
      </c>
      <c r="G571" t="s">
        <v>1119</v>
      </c>
    </row>
    <row r="572" spans="1:7" x14ac:dyDescent="0.3">
      <c r="A572" t="s">
        <v>1562</v>
      </c>
      <c r="B572" t="s">
        <v>76</v>
      </c>
      <c r="C572" t="s">
        <v>84</v>
      </c>
      <c r="D572" t="s">
        <v>1120</v>
      </c>
      <c r="E572" t="s">
        <v>778</v>
      </c>
      <c r="F572" t="s">
        <v>779</v>
      </c>
      <c r="G572" t="s">
        <v>1122</v>
      </c>
    </row>
    <row r="573" spans="1:7" x14ac:dyDescent="0.3">
      <c r="A573" t="s">
        <v>1432</v>
      </c>
      <c r="B573" t="s">
        <v>60</v>
      </c>
      <c r="C573" t="s">
        <v>61</v>
      </c>
      <c r="D573" t="s">
        <v>1123</v>
      </c>
      <c r="E573" t="s">
        <v>244</v>
      </c>
      <c r="F573" t="s">
        <v>780</v>
      </c>
      <c r="G573" t="s">
        <v>1123</v>
      </c>
    </row>
    <row r="574" spans="1:7" x14ac:dyDescent="0.3">
      <c r="A574" t="s">
        <v>1467</v>
      </c>
      <c r="B574" t="s">
        <v>76</v>
      </c>
      <c r="C574" t="s">
        <v>84</v>
      </c>
      <c r="D574" t="s">
        <v>1118</v>
      </c>
      <c r="E574" t="s">
        <v>781</v>
      </c>
      <c r="F574" t="s">
        <v>762</v>
      </c>
      <c r="G574" t="s">
        <v>1119</v>
      </c>
    </row>
    <row r="575" spans="1:7" x14ac:dyDescent="0.3">
      <c r="A575" t="s">
        <v>1372</v>
      </c>
      <c r="B575" t="s">
        <v>76</v>
      </c>
      <c r="C575" t="s">
        <v>77</v>
      </c>
      <c r="D575" t="s">
        <v>700</v>
      </c>
      <c r="E575" t="s">
        <v>1257</v>
      </c>
      <c r="F575" t="s">
        <v>1258</v>
      </c>
      <c r="G575" t="s">
        <v>1122</v>
      </c>
    </row>
    <row r="576" spans="1:7" x14ac:dyDescent="0.3">
      <c r="A576" t="s">
        <v>1321</v>
      </c>
      <c r="B576" t="s">
        <v>89</v>
      </c>
      <c r="C576" t="s">
        <v>90</v>
      </c>
      <c r="D576" t="s">
        <v>1118</v>
      </c>
      <c r="E576" t="s">
        <v>782</v>
      </c>
      <c r="F576" t="s">
        <v>783</v>
      </c>
      <c r="G576" t="s">
        <v>1119</v>
      </c>
    </row>
    <row r="577" spans="1:7" x14ac:dyDescent="0.3">
      <c r="A577" t="s">
        <v>1448</v>
      </c>
      <c r="B577" t="s">
        <v>76</v>
      </c>
      <c r="C577" t="s">
        <v>84</v>
      </c>
      <c r="D577" t="s">
        <v>1121</v>
      </c>
      <c r="E577" t="s">
        <v>370</v>
      </c>
      <c r="F577" t="s">
        <v>1217</v>
      </c>
      <c r="G577" t="s">
        <v>1119</v>
      </c>
    </row>
    <row r="578" spans="1:7" x14ac:dyDescent="0.3">
      <c r="A578" t="s">
        <v>1596</v>
      </c>
      <c r="B578" t="s">
        <v>108</v>
      </c>
      <c r="C578" t="s">
        <v>208</v>
      </c>
      <c r="D578" t="s">
        <v>1118</v>
      </c>
      <c r="E578" t="s">
        <v>39</v>
      </c>
      <c r="F578" t="s">
        <v>784</v>
      </c>
      <c r="G578" t="s">
        <v>1119</v>
      </c>
    </row>
    <row r="579" spans="1:7" x14ac:dyDescent="0.3">
      <c r="A579" t="s">
        <v>1393</v>
      </c>
      <c r="B579" t="s">
        <v>108</v>
      </c>
      <c r="C579" t="s">
        <v>169</v>
      </c>
      <c r="D579" t="s">
        <v>1121</v>
      </c>
      <c r="E579" t="s">
        <v>74</v>
      </c>
      <c r="F579" t="s">
        <v>1240</v>
      </c>
      <c r="G579" t="s">
        <v>1119</v>
      </c>
    </row>
    <row r="580" spans="1:7" x14ac:dyDescent="0.3">
      <c r="A580" t="s">
        <v>1417</v>
      </c>
      <c r="B580" t="s">
        <v>76</v>
      </c>
      <c r="C580" t="s">
        <v>84</v>
      </c>
      <c r="D580" t="s">
        <v>1118</v>
      </c>
      <c r="E580" t="s">
        <v>181</v>
      </c>
      <c r="F580" t="s">
        <v>685</v>
      </c>
      <c r="G580" t="s">
        <v>1118</v>
      </c>
    </row>
    <row r="581" spans="1:7" x14ac:dyDescent="0.3">
      <c r="A581" t="s">
        <v>1437</v>
      </c>
      <c r="B581" t="s">
        <v>93</v>
      </c>
      <c r="C581" t="s">
        <v>101</v>
      </c>
      <c r="D581" t="s">
        <v>1118</v>
      </c>
      <c r="E581" t="s">
        <v>745</v>
      </c>
      <c r="F581" t="s">
        <v>411</v>
      </c>
      <c r="G581" t="s">
        <v>1118</v>
      </c>
    </row>
    <row r="582" spans="1:7" x14ac:dyDescent="0.3">
      <c r="A582" t="s">
        <v>1497</v>
      </c>
      <c r="B582" t="s">
        <v>93</v>
      </c>
      <c r="C582" t="s">
        <v>101</v>
      </c>
      <c r="D582" t="s">
        <v>1118</v>
      </c>
      <c r="E582" t="s">
        <v>513</v>
      </c>
      <c r="F582" t="s">
        <v>514</v>
      </c>
      <c r="G582" t="s">
        <v>1118</v>
      </c>
    </row>
    <row r="583" spans="1:7" x14ac:dyDescent="0.3">
      <c r="A583" t="s">
        <v>1501</v>
      </c>
      <c r="B583" t="s">
        <v>60</v>
      </c>
      <c r="C583" t="s">
        <v>64</v>
      </c>
      <c r="D583" t="s">
        <v>1123</v>
      </c>
      <c r="E583" t="s">
        <v>66</v>
      </c>
      <c r="F583" t="s">
        <v>785</v>
      </c>
      <c r="G583" t="s">
        <v>1121</v>
      </c>
    </row>
    <row r="584" spans="1:7" x14ac:dyDescent="0.3">
      <c r="A584" t="s">
        <v>1466</v>
      </c>
      <c r="B584" t="s">
        <v>76</v>
      </c>
      <c r="C584" t="s">
        <v>80</v>
      </c>
      <c r="D584" t="s">
        <v>1123</v>
      </c>
      <c r="E584" t="s">
        <v>143</v>
      </c>
      <c r="F584" t="s">
        <v>786</v>
      </c>
      <c r="G584" t="s">
        <v>1119</v>
      </c>
    </row>
    <row r="585" spans="1:7" x14ac:dyDescent="0.3">
      <c r="A585" t="s">
        <v>1489</v>
      </c>
      <c r="B585" t="s">
        <v>27</v>
      </c>
      <c r="C585" t="s">
        <v>31</v>
      </c>
      <c r="D585" t="s">
        <v>1120</v>
      </c>
      <c r="E585" t="s">
        <v>787</v>
      </c>
      <c r="F585" t="s">
        <v>788</v>
      </c>
      <c r="G585" t="s">
        <v>1122</v>
      </c>
    </row>
    <row r="586" spans="1:7" x14ac:dyDescent="0.3">
      <c r="A586" t="s">
        <v>1441</v>
      </c>
      <c r="B586" t="s">
        <v>60</v>
      </c>
      <c r="C586" t="s">
        <v>61</v>
      </c>
      <c r="D586" t="s">
        <v>1120</v>
      </c>
      <c r="E586" t="s">
        <v>141</v>
      </c>
      <c r="F586" t="s">
        <v>789</v>
      </c>
      <c r="G586" t="s">
        <v>1122</v>
      </c>
    </row>
    <row r="587" spans="1:7" x14ac:dyDescent="0.3">
      <c r="A587" t="s">
        <v>1346</v>
      </c>
      <c r="B587" t="s">
        <v>790</v>
      </c>
      <c r="C587" t="s">
        <v>77</v>
      </c>
      <c r="D587" t="s">
        <v>1121</v>
      </c>
      <c r="E587" t="s">
        <v>81</v>
      </c>
      <c r="F587" t="s">
        <v>791</v>
      </c>
      <c r="G587" t="s">
        <v>1122</v>
      </c>
    </row>
    <row r="588" spans="1:7" x14ac:dyDescent="0.3">
      <c r="A588" t="s">
        <v>1406</v>
      </c>
      <c r="B588" t="s">
        <v>27</v>
      </c>
      <c r="C588" t="s">
        <v>28</v>
      </c>
      <c r="D588" t="s">
        <v>1120</v>
      </c>
      <c r="E588" t="s">
        <v>722</v>
      </c>
      <c r="F588" t="s">
        <v>792</v>
      </c>
      <c r="G588" t="s">
        <v>1120</v>
      </c>
    </row>
    <row r="589" spans="1:7" x14ac:dyDescent="0.3">
      <c r="A589" t="s">
        <v>1544</v>
      </c>
      <c r="B589" t="s">
        <v>27</v>
      </c>
      <c r="C589" t="s">
        <v>38</v>
      </c>
      <c r="D589" t="s">
        <v>700</v>
      </c>
      <c r="E589" t="s">
        <v>793</v>
      </c>
      <c r="F589" t="s">
        <v>794</v>
      </c>
      <c r="G589" t="s">
        <v>1122</v>
      </c>
    </row>
    <row r="590" spans="1:7" x14ac:dyDescent="0.3">
      <c r="A590" t="s">
        <v>1572</v>
      </c>
      <c r="B590" t="s">
        <v>76</v>
      </c>
      <c r="C590" t="s">
        <v>77</v>
      </c>
      <c r="D590" t="s">
        <v>1120</v>
      </c>
      <c r="E590" t="s">
        <v>795</v>
      </c>
      <c r="F590" t="s">
        <v>796</v>
      </c>
      <c r="G590" t="s">
        <v>1122</v>
      </c>
    </row>
    <row r="591" spans="1:7" x14ac:dyDescent="0.3">
      <c r="A591" t="s">
        <v>1400</v>
      </c>
      <c r="B591" t="s">
        <v>41</v>
      </c>
      <c r="C591" t="s">
        <v>46</v>
      </c>
      <c r="D591" t="s">
        <v>1120</v>
      </c>
      <c r="E591" t="s">
        <v>44</v>
      </c>
      <c r="F591" t="s">
        <v>1259</v>
      </c>
      <c r="G591" t="s">
        <v>1119</v>
      </c>
    </row>
    <row r="592" spans="1:7" x14ac:dyDescent="0.3">
      <c r="A592" t="s">
        <v>1399</v>
      </c>
      <c r="B592" t="s">
        <v>108</v>
      </c>
      <c r="C592" t="s">
        <v>208</v>
      </c>
      <c r="D592" t="s">
        <v>1121</v>
      </c>
      <c r="E592" t="s">
        <v>43</v>
      </c>
      <c r="F592" t="s">
        <v>797</v>
      </c>
      <c r="G592" t="s">
        <v>1122</v>
      </c>
    </row>
    <row r="593" spans="1:7" x14ac:dyDescent="0.3">
      <c r="A593" t="s">
        <v>1417</v>
      </c>
      <c r="B593" t="s">
        <v>41</v>
      </c>
      <c r="C593" t="s">
        <v>42</v>
      </c>
      <c r="D593" t="s">
        <v>1121</v>
      </c>
      <c r="E593" t="s">
        <v>798</v>
      </c>
      <c r="F593" t="s">
        <v>799</v>
      </c>
      <c r="G593" t="s">
        <v>1121</v>
      </c>
    </row>
    <row r="594" spans="1:7" x14ac:dyDescent="0.3">
      <c r="A594" t="s">
        <v>1139</v>
      </c>
      <c r="B594" t="s">
        <v>41</v>
      </c>
      <c r="C594" t="s">
        <v>73</v>
      </c>
      <c r="D594" t="s">
        <v>1121</v>
      </c>
      <c r="E594" t="s">
        <v>66</v>
      </c>
      <c r="F594" t="s">
        <v>800</v>
      </c>
      <c r="G594" t="s">
        <v>1122</v>
      </c>
    </row>
    <row r="595" spans="1:7" x14ac:dyDescent="0.3">
      <c r="A595" t="s">
        <v>1420</v>
      </c>
      <c r="B595" t="s">
        <v>60</v>
      </c>
      <c r="C595" t="s">
        <v>61</v>
      </c>
      <c r="D595" t="s">
        <v>1121</v>
      </c>
      <c r="E595" t="s">
        <v>252</v>
      </c>
      <c r="F595" t="s">
        <v>711</v>
      </c>
      <c r="G595" t="s">
        <v>1122</v>
      </c>
    </row>
    <row r="596" spans="1:7" x14ac:dyDescent="0.3">
      <c r="A596" t="s">
        <v>1350</v>
      </c>
      <c r="B596" t="s">
        <v>49</v>
      </c>
      <c r="C596" t="s">
        <v>52</v>
      </c>
      <c r="D596" t="s">
        <v>700</v>
      </c>
      <c r="E596" t="s">
        <v>215</v>
      </c>
      <c r="F596" t="s">
        <v>801</v>
      </c>
      <c r="G596" t="s">
        <v>1120</v>
      </c>
    </row>
    <row r="597" spans="1:7" x14ac:dyDescent="0.3">
      <c r="A597" t="s">
        <v>1405</v>
      </c>
      <c r="B597" t="s">
        <v>49</v>
      </c>
      <c r="C597" t="s">
        <v>66</v>
      </c>
      <c r="D597" t="s">
        <v>1120</v>
      </c>
      <c r="E597" t="s">
        <v>1186</v>
      </c>
      <c r="F597" t="s">
        <v>802</v>
      </c>
      <c r="G597" t="s">
        <v>1122</v>
      </c>
    </row>
    <row r="598" spans="1:7" x14ac:dyDescent="0.3">
      <c r="A598" t="s">
        <v>1597</v>
      </c>
      <c r="B598" t="s">
        <v>49</v>
      </c>
      <c r="C598" t="s">
        <v>52</v>
      </c>
      <c r="D598" t="s">
        <v>700</v>
      </c>
      <c r="E598" t="s">
        <v>1204</v>
      </c>
      <c r="F598" t="s">
        <v>1260</v>
      </c>
      <c r="G598" t="s">
        <v>1119</v>
      </c>
    </row>
    <row r="599" spans="1:7" x14ac:dyDescent="0.3">
      <c r="A599" t="s">
        <v>1416</v>
      </c>
      <c r="B599" t="s">
        <v>89</v>
      </c>
      <c r="C599" t="s">
        <v>90</v>
      </c>
      <c r="D599" t="s">
        <v>1121</v>
      </c>
      <c r="E599" t="s">
        <v>181</v>
      </c>
      <c r="F599" t="s">
        <v>803</v>
      </c>
      <c r="G599" t="s">
        <v>1118</v>
      </c>
    </row>
    <row r="600" spans="1:7" x14ac:dyDescent="0.3">
      <c r="A600" t="s">
        <v>1466</v>
      </c>
      <c r="B600" t="s">
        <v>60</v>
      </c>
      <c r="C600" t="s">
        <v>61</v>
      </c>
      <c r="D600" t="s">
        <v>1123</v>
      </c>
      <c r="E600" t="s">
        <v>151</v>
      </c>
      <c r="F600" t="s">
        <v>412</v>
      </c>
      <c r="G600" t="s">
        <v>1123</v>
      </c>
    </row>
    <row r="601" spans="1:7" x14ac:dyDescent="0.3">
      <c r="A601" t="s">
        <v>1308</v>
      </c>
      <c r="B601" t="s">
        <v>27</v>
      </c>
      <c r="C601" t="s">
        <v>38</v>
      </c>
      <c r="D601" t="s">
        <v>1121</v>
      </c>
      <c r="E601" t="s">
        <v>137</v>
      </c>
      <c r="F601" t="s">
        <v>171</v>
      </c>
      <c r="G601" t="s">
        <v>1119</v>
      </c>
    </row>
    <row r="602" spans="1:7" x14ac:dyDescent="0.3">
      <c r="A602" t="s">
        <v>1400</v>
      </c>
      <c r="B602" t="s">
        <v>108</v>
      </c>
      <c r="C602" t="s">
        <v>109</v>
      </c>
      <c r="D602" t="s">
        <v>700</v>
      </c>
      <c r="E602" t="s">
        <v>670</v>
      </c>
      <c r="F602" t="s">
        <v>804</v>
      </c>
      <c r="G602" t="s">
        <v>1119</v>
      </c>
    </row>
    <row r="603" spans="1:7" x14ac:dyDescent="0.3">
      <c r="A603" t="s">
        <v>1598</v>
      </c>
      <c r="B603" t="s">
        <v>116</v>
      </c>
      <c r="C603" t="s">
        <v>50</v>
      </c>
      <c r="D603" t="s">
        <v>1118</v>
      </c>
      <c r="E603" t="s">
        <v>265</v>
      </c>
      <c r="F603" t="s">
        <v>805</v>
      </c>
      <c r="G603" t="s">
        <v>1118</v>
      </c>
    </row>
    <row r="604" spans="1:7" x14ac:dyDescent="0.3">
      <c r="A604" t="s">
        <v>1345</v>
      </c>
      <c r="B604" t="s">
        <v>108</v>
      </c>
      <c r="C604" t="s">
        <v>169</v>
      </c>
      <c r="D604" t="s">
        <v>1123</v>
      </c>
      <c r="E604" t="s">
        <v>598</v>
      </c>
      <c r="F604" t="s">
        <v>806</v>
      </c>
      <c r="G604" t="s">
        <v>1119</v>
      </c>
    </row>
    <row r="605" spans="1:7" x14ac:dyDescent="0.3">
      <c r="A605" t="s">
        <v>1548</v>
      </c>
      <c r="B605" t="s">
        <v>60</v>
      </c>
      <c r="C605" t="s">
        <v>64</v>
      </c>
      <c r="D605" t="s">
        <v>700</v>
      </c>
      <c r="E605" t="s">
        <v>807</v>
      </c>
      <c r="F605" t="s">
        <v>808</v>
      </c>
      <c r="G605" t="s">
        <v>1121</v>
      </c>
    </row>
    <row r="606" spans="1:7" x14ac:dyDescent="0.3">
      <c r="A606" t="s">
        <v>1441</v>
      </c>
      <c r="B606" t="s">
        <v>790</v>
      </c>
      <c r="C606" t="s">
        <v>77</v>
      </c>
      <c r="D606" t="s">
        <v>1120</v>
      </c>
      <c r="E606" t="s">
        <v>795</v>
      </c>
      <c r="F606" t="s">
        <v>809</v>
      </c>
      <c r="G606" t="s">
        <v>1119</v>
      </c>
    </row>
    <row r="607" spans="1:7" x14ac:dyDescent="0.3">
      <c r="A607" t="s">
        <v>1599</v>
      </c>
      <c r="B607" t="s">
        <v>372</v>
      </c>
      <c r="C607" t="s">
        <v>131</v>
      </c>
      <c r="D607" t="s">
        <v>1123</v>
      </c>
      <c r="E607" t="s">
        <v>810</v>
      </c>
      <c r="F607" t="s">
        <v>741</v>
      </c>
      <c r="G607" t="s">
        <v>1118</v>
      </c>
    </row>
    <row r="608" spans="1:7" x14ac:dyDescent="0.3">
      <c r="A608" t="s">
        <v>1501</v>
      </c>
      <c r="B608" t="s">
        <v>76</v>
      </c>
      <c r="C608" t="s">
        <v>84</v>
      </c>
      <c r="D608" t="s">
        <v>1121</v>
      </c>
      <c r="E608" t="s">
        <v>226</v>
      </c>
      <c r="F608" t="s">
        <v>1261</v>
      </c>
      <c r="G608" t="s">
        <v>1120</v>
      </c>
    </row>
    <row r="609" spans="1:7" x14ac:dyDescent="0.3">
      <c r="A609" t="s">
        <v>1305</v>
      </c>
      <c r="B609" t="s">
        <v>27</v>
      </c>
      <c r="C609" t="s">
        <v>34</v>
      </c>
      <c r="D609" t="s">
        <v>700</v>
      </c>
      <c r="E609" t="s">
        <v>811</v>
      </c>
      <c r="F609" t="s">
        <v>812</v>
      </c>
      <c r="G609" t="s">
        <v>1118</v>
      </c>
    </row>
    <row r="610" spans="1:7" x14ac:dyDescent="0.3">
      <c r="A610" t="s">
        <v>1334</v>
      </c>
      <c r="B610" t="s">
        <v>41</v>
      </c>
      <c r="C610" t="s">
        <v>66</v>
      </c>
      <c r="D610" t="s">
        <v>1120</v>
      </c>
      <c r="E610" t="s">
        <v>813</v>
      </c>
      <c r="F610" t="s">
        <v>814</v>
      </c>
      <c r="G610" t="s">
        <v>1121</v>
      </c>
    </row>
    <row r="611" spans="1:7" x14ac:dyDescent="0.3">
      <c r="A611" t="s">
        <v>1321</v>
      </c>
      <c r="B611" t="s">
        <v>93</v>
      </c>
      <c r="C611" t="s">
        <v>101</v>
      </c>
      <c r="D611" t="s">
        <v>1121</v>
      </c>
      <c r="E611" t="s">
        <v>1183</v>
      </c>
      <c r="F611" t="s">
        <v>1262</v>
      </c>
      <c r="G611" t="s">
        <v>700</v>
      </c>
    </row>
    <row r="612" spans="1:7" x14ac:dyDescent="0.3">
      <c r="A612" t="s">
        <v>1600</v>
      </c>
      <c r="B612" t="s">
        <v>27</v>
      </c>
      <c r="C612" t="s">
        <v>38</v>
      </c>
      <c r="D612" t="s">
        <v>1118</v>
      </c>
      <c r="E612" t="s">
        <v>602</v>
      </c>
      <c r="F612" t="s">
        <v>815</v>
      </c>
      <c r="G612" t="s">
        <v>1122</v>
      </c>
    </row>
    <row r="613" spans="1:7" x14ac:dyDescent="0.3">
      <c r="A613" t="s">
        <v>1505</v>
      </c>
      <c r="B613" t="s">
        <v>60</v>
      </c>
      <c r="C613" t="s">
        <v>69</v>
      </c>
      <c r="D613" t="s">
        <v>700</v>
      </c>
      <c r="E613" t="s">
        <v>816</v>
      </c>
      <c r="F613" t="s">
        <v>817</v>
      </c>
      <c r="G613" t="s">
        <v>1118</v>
      </c>
    </row>
    <row r="614" spans="1:7" x14ac:dyDescent="0.3">
      <c r="A614" t="s">
        <v>1601</v>
      </c>
      <c r="B614" t="s">
        <v>49</v>
      </c>
      <c r="C614" t="s">
        <v>50</v>
      </c>
      <c r="D614" t="s">
        <v>1118</v>
      </c>
      <c r="E614" t="s">
        <v>349</v>
      </c>
      <c r="F614" t="s">
        <v>805</v>
      </c>
      <c r="G614" t="s">
        <v>1118</v>
      </c>
    </row>
    <row r="615" spans="1:7" x14ac:dyDescent="0.3">
      <c r="A615" t="s">
        <v>1426</v>
      </c>
      <c r="B615" t="s">
        <v>93</v>
      </c>
      <c r="C615" t="s">
        <v>101</v>
      </c>
      <c r="D615" t="s">
        <v>1123</v>
      </c>
      <c r="E615" t="s">
        <v>638</v>
      </c>
      <c r="F615" t="s">
        <v>818</v>
      </c>
      <c r="G615" t="s">
        <v>1121</v>
      </c>
    </row>
    <row r="616" spans="1:7" x14ac:dyDescent="0.3">
      <c r="A616" t="s">
        <v>1357</v>
      </c>
      <c r="B616" t="s">
        <v>93</v>
      </c>
      <c r="C616" t="s">
        <v>57</v>
      </c>
      <c r="D616" t="s">
        <v>1118</v>
      </c>
      <c r="E616" t="s">
        <v>610</v>
      </c>
      <c r="F616" t="s">
        <v>819</v>
      </c>
      <c r="G616" t="s">
        <v>1120</v>
      </c>
    </row>
    <row r="617" spans="1:7" x14ac:dyDescent="0.3">
      <c r="A617" t="s">
        <v>1401</v>
      </c>
      <c r="B617" t="s">
        <v>27</v>
      </c>
      <c r="C617" t="s">
        <v>31</v>
      </c>
      <c r="D617" t="s">
        <v>1120</v>
      </c>
      <c r="E617" t="s">
        <v>1181</v>
      </c>
      <c r="F617" t="s">
        <v>820</v>
      </c>
      <c r="G617" t="s">
        <v>1122</v>
      </c>
    </row>
    <row r="618" spans="1:7" x14ac:dyDescent="0.3">
      <c r="A618" t="s">
        <v>1380</v>
      </c>
      <c r="B618" t="s">
        <v>60</v>
      </c>
      <c r="C618" t="s">
        <v>64</v>
      </c>
      <c r="D618" t="s">
        <v>1118</v>
      </c>
      <c r="E618" t="s">
        <v>265</v>
      </c>
      <c r="F618" t="s">
        <v>821</v>
      </c>
      <c r="G618" t="s">
        <v>1121</v>
      </c>
    </row>
    <row r="619" spans="1:7" x14ac:dyDescent="0.3">
      <c r="A619" t="s">
        <v>1602</v>
      </c>
      <c r="B619" t="s">
        <v>89</v>
      </c>
      <c r="C619" t="s">
        <v>131</v>
      </c>
      <c r="D619" t="s">
        <v>700</v>
      </c>
      <c r="E619" t="s">
        <v>415</v>
      </c>
      <c r="F619" t="s">
        <v>1263</v>
      </c>
      <c r="G619" t="s">
        <v>1121</v>
      </c>
    </row>
    <row r="620" spans="1:7" x14ac:dyDescent="0.3">
      <c r="A620" t="s">
        <v>1422</v>
      </c>
      <c r="B620" t="s">
        <v>49</v>
      </c>
      <c r="C620" t="s">
        <v>50</v>
      </c>
      <c r="D620" t="s">
        <v>700</v>
      </c>
      <c r="E620" t="s">
        <v>391</v>
      </c>
      <c r="F620" t="s">
        <v>1264</v>
      </c>
      <c r="G620" t="s">
        <v>1118</v>
      </c>
    </row>
    <row r="621" spans="1:7" x14ac:dyDescent="0.3">
      <c r="A621" t="s">
        <v>1603</v>
      </c>
      <c r="B621" t="s">
        <v>387</v>
      </c>
      <c r="C621" t="s">
        <v>61</v>
      </c>
      <c r="D621" t="s">
        <v>1121</v>
      </c>
      <c r="E621" t="s">
        <v>256</v>
      </c>
      <c r="F621" t="s">
        <v>822</v>
      </c>
      <c r="G621" t="s">
        <v>1118</v>
      </c>
    </row>
    <row r="622" spans="1:7" x14ac:dyDescent="0.3">
      <c r="A622" t="s">
        <v>1438</v>
      </c>
      <c r="B622" t="s">
        <v>93</v>
      </c>
      <c r="C622" t="s">
        <v>101</v>
      </c>
      <c r="D622" t="s">
        <v>1120</v>
      </c>
      <c r="E622" t="s">
        <v>29</v>
      </c>
      <c r="F622" t="s">
        <v>210</v>
      </c>
      <c r="G622" t="s">
        <v>1121</v>
      </c>
    </row>
    <row r="623" spans="1:7" x14ac:dyDescent="0.3">
      <c r="A623" t="s">
        <v>1457</v>
      </c>
      <c r="B623" t="s">
        <v>76</v>
      </c>
      <c r="C623" t="s">
        <v>77</v>
      </c>
      <c r="D623" t="s">
        <v>1118</v>
      </c>
      <c r="E623" t="s">
        <v>141</v>
      </c>
      <c r="F623" t="s">
        <v>823</v>
      </c>
      <c r="G623" t="s">
        <v>1118</v>
      </c>
    </row>
    <row r="624" spans="1:7" x14ac:dyDescent="0.3">
      <c r="A624" t="s">
        <v>1556</v>
      </c>
      <c r="B624" t="s">
        <v>76</v>
      </c>
      <c r="C624" t="s">
        <v>80</v>
      </c>
      <c r="D624" t="s">
        <v>1118</v>
      </c>
      <c r="E624" t="s">
        <v>640</v>
      </c>
      <c r="F624" t="s">
        <v>824</v>
      </c>
      <c r="G624" t="s">
        <v>66</v>
      </c>
    </row>
    <row r="625" spans="1:7" x14ac:dyDescent="0.3">
      <c r="A625" t="s">
        <v>1512</v>
      </c>
      <c r="B625" t="s">
        <v>60</v>
      </c>
      <c r="C625" t="s">
        <v>64</v>
      </c>
      <c r="D625" t="s">
        <v>1118</v>
      </c>
      <c r="E625" t="s">
        <v>1177</v>
      </c>
      <c r="F625" t="s">
        <v>1265</v>
      </c>
      <c r="G625" t="s">
        <v>66</v>
      </c>
    </row>
    <row r="626" spans="1:7" x14ac:dyDescent="0.3">
      <c r="A626" t="s">
        <v>1399</v>
      </c>
      <c r="B626" t="s">
        <v>76</v>
      </c>
      <c r="C626" t="s">
        <v>77</v>
      </c>
      <c r="D626" t="s">
        <v>1120</v>
      </c>
      <c r="E626" t="s">
        <v>161</v>
      </c>
      <c r="F626" t="s">
        <v>825</v>
      </c>
      <c r="G626" t="s">
        <v>1118</v>
      </c>
    </row>
    <row r="627" spans="1:7" x14ac:dyDescent="0.3">
      <c r="A627" t="s">
        <v>1475</v>
      </c>
      <c r="B627" t="s">
        <v>27</v>
      </c>
      <c r="C627" t="s">
        <v>28</v>
      </c>
      <c r="D627" t="s">
        <v>1118</v>
      </c>
      <c r="E627" t="s">
        <v>664</v>
      </c>
      <c r="F627" t="s">
        <v>826</v>
      </c>
      <c r="G627" t="s">
        <v>1119</v>
      </c>
    </row>
    <row r="628" spans="1:7" x14ac:dyDescent="0.3">
      <c r="A628" t="s">
        <v>1538</v>
      </c>
      <c r="B628" t="s">
        <v>93</v>
      </c>
      <c r="C628" t="s">
        <v>57</v>
      </c>
      <c r="D628" t="s">
        <v>700</v>
      </c>
      <c r="E628" t="s">
        <v>691</v>
      </c>
      <c r="F628" t="s">
        <v>827</v>
      </c>
      <c r="G628" t="s">
        <v>1122</v>
      </c>
    </row>
    <row r="629" spans="1:7" x14ac:dyDescent="0.3">
      <c r="A629" t="s">
        <v>1370</v>
      </c>
      <c r="B629" t="s">
        <v>76</v>
      </c>
      <c r="C629" t="s">
        <v>77</v>
      </c>
      <c r="D629" t="s">
        <v>1123</v>
      </c>
      <c r="E629" t="s">
        <v>1234</v>
      </c>
      <c r="F629" t="s">
        <v>828</v>
      </c>
      <c r="G629" t="s">
        <v>1122</v>
      </c>
    </row>
    <row r="630" spans="1:7" x14ac:dyDescent="0.3">
      <c r="A630" t="s">
        <v>1438</v>
      </c>
      <c r="B630" t="s">
        <v>1153</v>
      </c>
      <c r="C630" t="s">
        <v>101</v>
      </c>
      <c r="D630" t="s">
        <v>1120</v>
      </c>
      <c r="E630" t="s">
        <v>1154</v>
      </c>
      <c r="F630" t="s">
        <v>1155</v>
      </c>
      <c r="G630" t="s">
        <v>1120</v>
      </c>
    </row>
    <row r="631" spans="1:7" x14ac:dyDescent="0.3">
      <c r="A631" t="s">
        <v>1371</v>
      </c>
      <c r="B631" t="s">
        <v>89</v>
      </c>
      <c r="C631" t="s">
        <v>90</v>
      </c>
      <c r="D631" t="s">
        <v>1118</v>
      </c>
      <c r="E631" t="s">
        <v>551</v>
      </c>
      <c r="F631" t="s">
        <v>497</v>
      </c>
      <c r="G631" t="s">
        <v>1119</v>
      </c>
    </row>
    <row r="632" spans="1:7" x14ac:dyDescent="0.3">
      <c r="A632" t="s">
        <v>1140</v>
      </c>
      <c r="B632" t="s">
        <v>790</v>
      </c>
      <c r="C632" t="s">
        <v>84</v>
      </c>
      <c r="D632" t="s">
        <v>1123</v>
      </c>
      <c r="E632" t="s">
        <v>829</v>
      </c>
      <c r="F632" t="s">
        <v>830</v>
      </c>
      <c r="G632" t="s">
        <v>1119</v>
      </c>
    </row>
    <row r="633" spans="1:7" x14ac:dyDescent="0.3">
      <c r="A633" t="s">
        <v>1500</v>
      </c>
      <c r="B633" t="s">
        <v>60</v>
      </c>
      <c r="C633" t="s">
        <v>61</v>
      </c>
      <c r="D633" t="s">
        <v>1120</v>
      </c>
      <c r="E633" t="s">
        <v>244</v>
      </c>
      <c r="F633" t="s">
        <v>831</v>
      </c>
      <c r="G633" t="s">
        <v>1119</v>
      </c>
    </row>
    <row r="634" spans="1:7" x14ac:dyDescent="0.3">
      <c r="A634" t="s">
        <v>1604</v>
      </c>
      <c r="B634" t="s">
        <v>108</v>
      </c>
      <c r="C634" t="s">
        <v>169</v>
      </c>
      <c r="D634" t="s">
        <v>1123</v>
      </c>
      <c r="E634" t="s">
        <v>709</v>
      </c>
      <c r="F634" t="s">
        <v>771</v>
      </c>
      <c r="G634" t="s">
        <v>1119</v>
      </c>
    </row>
    <row r="635" spans="1:7" x14ac:dyDescent="0.3">
      <c r="A635" t="s">
        <v>1390</v>
      </c>
      <c r="B635" t="s">
        <v>76</v>
      </c>
      <c r="C635" t="s">
        <v>80</v>
      </c>
      <c r="D635" t="s">
        <v>1121</v>
      </c>
      <c r="E635" t="s">
        <v>380</v>
      </c>
      <c r="F635" t="s">
        <v>832</v>
      </c>
      <c r="G635" t="s">
        <v>1122</v>
      </c>
    </row>
    <row r="636" spans="1:7" x14ac:dyDescent="0.3">
      <c r="A636" t="s">
        <v>1545</v>
      </c>
      <c r="B636" t="s">
        <v>27</v>
      </c>
      <c r="C636" t="s">
        <v>31</v>
      </c>
      <c r="D636" t="s">
        <v>1120</v>
      </c>
      <c r="E636" t="s">
        <v>833</v>
      </c>
      <c r="F636" t="s">
        <v>834</v>
      </c>
      <c r="G636" t="s">
        <v>1119</v>
      </c>
    </row>
    <row r="637" spans="1:7" x14ac:dyDescent="0.3">
      <c r="A637" t="s">
        <v>1521</v>
      </c>
      <c r="B637" t="s">
        <v>41</v>
      </c>
      <c r="C637" t="s">
        <v>42</v>
      </c>
      <c r="D637" t="s">
        <v>1118</v>
      </c>
      <c r="E637" t="s">
        <v>640</v>
      </c>
      <c r="F637" t="s">
        <v>603</v>
      </c>
      <c r="G637" t="s">
        <v>1122</v>
      </c>
    </row>
    <row r="638" spans="1:7" x14ac:dyDescent="0.3">
      <c r="A638" t="s">
        <v>1355</v>
      </c>
      <c r="B638" t="s">
        <v>108</v>
      </c>
      <c r="C638" t="s">
        <v>208</v>
      </c>
      <c r="D638" t="s">
        <v>1121</v>
      </c>
      <c r="E638" t="s">
        <v>698</v>
      </c>
      <c r="F638" t="s">
        <v>835</v>
      </c>
      <c r="G638" t="s">
        <v>1119</v>
      </c>
    </row>
    <row r="639" spans="1:7" x14ac:dyDescent="0.3">
      <c r="A639" t="s">
        <v>1579</v>
      </c>
      <c r="B639" t="s">
        <v>93</v>
      </c>
      <c r="C639" t="s">
        <v>101</v>
      </c>
      <c r="D639" t="s">
        <v>1123</v>
      </c>
      <c r="E639" t="s">
        <v>273</v>
      </c>
      <c r="F639" t="s">
        <v>836</v>
      </c>
      <c r="G639" t="s">
        <v>1122</v>
      </c>
    </row>
    <row r="640" spans="1:7" x14ac:dyDescent="0.3">
      <c r="A640" t="s">
        <v>1605</v>
      </c>
      <c r="B640" t="s">
        <v>60</v>
      </c>
      <c r="C640" t="s">
        <v>61</v>
      </c>
      <c r="D640" t="s">
        <v>700</v>
      </c>
      <c r="E640" t="s">
        <v>205</v>
      </c>
      <c r="F640" t="s">
        <v>366</v>
      </c>
      <c r="G640" t="s">
        <v>1119</v>
      </c>
    </row>
    <row r="641" spans="1:7" x14ac:dyDescent="0.3">
      <c r="A641" t="s">
        <v>1606</v>
      </c>
      <c r="B641" t="s">
        <v>56</v>
      </c>
      <c r="C641" t="s">
        <v>101</v>
      </c>
      <c r="D641" t="s">
        <v>700</v>
      </c>
      <c r="E641" t="s">
        <v>567</v>
      </c>
      <c r="F641" t="s">
        <v>837</v>
      </c>
      <c r="G641" t="s">
        <v>1122</v>
      </c>
    </row>
    <row r="642" spans="1:7" x14ac:dyDescent="0.3">
      <c r="A642" t="s">
        <v>1335</v>
      </c>
      <c r="B642" t="s">
        <v>108</v>
      </c>
      <c r="C642" t="s">
        <v>109</v>
      </c>
      <c r="D642" t="s">
        <v>700</v>
      </c>
      <c r="E642" t="s">
        <v>590</v>
      </c>
      <c r="F642" t="s">
        <v>838</v>
      </c>
      <c r="G642" t="s">
        <v>1119</v>
      </c>
    </row>
    <row r="643" spans="1:7" x14ac:dyDescent="0.3">
      <c r="A643" t="s">
        <v>1448</v>
      </c>
      <c r="B643" t="s">
        <v>76</v>
      </c>
      <c r="C643" t="s">
        <v>84</v>
      </c>
      <c r="D643" t="s">
        <v>1120</v>
      </c>
      <c r="E643" t="s">
        <v>595</v>
      </c>
      <c r="F643" t="s">
        <v>839</v>
      </c>
      <c r="G643" t="s">
        <v>1122</v>
      </c>
    </row>
    <row r="644" spans="1:7" x14ac:dyDescent="0.3">
      <c r="A644" t="s">
        <v>1589</v>
      </c>
      <c r="B644" t="s">
        <v>49</v>
      </c>
      <c r="C644" t="s">
        <v>52</v>
      </c>
      <c r="D644" t="s">
        <v>700</v>
      </c>
      <c r="E644" t="s">
        <v>1223</v>
      </c>
      <c r="F644" t="s">
        <v>840</v>
      </c>
      <c r="G644" t="s">
        <v>1122</v>
      </c>
    </row>
    <row r="645" spans="1:7" x14ac:dyDescent="0.3">
      <c r="A645" t="s">
        <v>1557</v>
      </c>
      <c r="B645" t="s">
        <v>60</v>
      </c>
      <c r="C645" t="s">
        <v>69</v>
      </c>
      <c r="D645" t="s">
        <v>1120</v>
      </c>
      <c r="E645" t="s">
        <v>130</v>
      </c>
      <c r="F645" t="s">
        <v>841</v>
      </c>
      <c r="G645" t="s">
        <v>1118</v>
      </c>
    </row>
    <row r="646" spans="1:7" x14ac:dyDescent="0.3">
      <c r="A646" t="s">
        <v>1575</v>
      </c>
      <c r="B646" t="s">
        <v>41</v>
      </c>
      <c r="C646" t="s">
        <v>46</v>
      </c>
      <c r="D646" t="s">
        <v>700</v>
      </c>
      <c r="E646" t="s">
        <v>725</v>
      </c>
      <c r="F646" t="s">
        <v>827</v>
      </c>
      <c r="G646" t="s">
        <v>1118</v>
      </c>
    </row>
    <row r="647" spans="1:7" x14ac:dyDescent="0.3">
      <c r="A647" t="s">
        <v>1308</v>
      </c>
      <c r="B647" t="s">
        <v>89</v>
      </c>
      <c r="C647" t="s">
        <v>131</v>
      </c>
      <c r="D647" t="s">
        <v>1120</v>
      </c>
      <c r="E647" t="s">
        <v>1224</v>
      </c>
      <c r="F647" t="s">
        <v>842</v>
      </c>
      <c r="G647" t="s">
        <v>1122</v>
      </c>
    </row>
    <row r="648" spans="1:7" x14ac:dyDescent="0.3">
      <c r="A648" t="s">
        <v>1559</v>
      </c>
      <c r="B648" t="s">
        <v>27</v>
      </c>
      <c r="C648" t="s">
        <v>38</v>
      </c>
      <c r="D648" t="s">
        <v>1118</v>
      </c>
      <c r="E648" t="s">
        <v>673</v>
      </c>
      <c r="F648" t="s">
        <v>674</v>
      </c>
      <c r="G648" t="s">
        <v>1121</v>
      </c>
    </row>
    <row r="649" spans="1:7" x14ac:dyDescent="0.3">
      <c r="A649" t="s">
        <v>1350</v>
      </c>
      <c r="B649" t="s">
        <v>27</v>
      </c>
      <c r="C649" t="s">
        <v>34</v>
      </c>
      <c r="D649" t="s">
        <v>1120</v>
      </c>
      <c r="E649" t="s">
        <v>843</v>
      </c>
      <c r="F649" t="s">
        <v>844</v>
      </c>
      <c r="G649" t="s">
        <v>1118</v>
      </c>
    </row>
    <row r="650" spans="1:7" x14ac:dyDescent="0.3">
      <c r="A650" t="s">
        <v>1515</v>
      </c>
      <c r="B650" t="s">
        <v>49</v>
      </c>
      <c r="C650" t="s">
        <v>52</v>
      </c>
      <c r="D650" t="s">
        <v>1123</v>
      </c>
      <c r="E650" t="s">
        <v>698</v>
      </c>
      <c r="F650" t="s">
        <v>320</v>
      </c>
      <c r="G650" t="s">
        <v>1121</v>
      </c>
    </row>
    <row r="651" spans="1:7" x14ac:dyDescent="0.3">
      <c r="A651" t="s">
        <v>1436</v>
      </c>
      <c r="B651" t="s">
        <v>108</v>
      </c>
      <c r="C651" t="s">
        <v>109</v>
      </c>
      <c r="D651" t="s">
        <v>1121</v>
      </c>
      <c r="E651" t="s">
        <v>51</v>
      </c>
      <c r="F651" t="s">
        <v>845</v>
      </c>
      <c r="G651" t="s">
        <v>1118</v>
      </c>
    </row>
    <row r="652" spans="1:7" x14ac:dyDescent="0.3">
      <c r="A652" t="s">
        <v>1379</v>
      </c>
      <c r="B652" t="s">
        <v>76</v>
      </c>
      <c r="C652" t="s">
        <v>80</v>
      </c>
      <c r="D652" t="s">
        <v>1121</v>
      </c>
      <c r="E652" t="s">
        <v>102</v>
      </c>
      <c r="F652" t="s">
        <v>846</v>
      </c>
      <c r="G652" t="s">
        <v>1118</v>
      </c>
    </row>
    <row r="653" spans="1:7" x14ac:dyDescent="0.3">
      <c r="A653" t="s">
        <v>1557</v>
      </c>
      <c r="B653" t="s">
        <v>108</v>
      </c>
      <c r="C653" t="s">
        <v>169</v>
      </c>
      <c r="D653" t="s">
        <v>1118</v>
      </c>
      <c r="E653" t="s">
        <v>174</v>
      </c>
      <c r="F653" t="s">
        <v>847</v>
      </c>
      <c r="G653" t="s">
        <v>1118</v>
      </c>
    </row>
    <row r="654" spans="1:7" x14ac:dyDescent="0.3">
      <c r="A654" t="s">
        <v>1455</v>
      </c>
      <c r="B654" t="s">
        <v>60</v>
      </c>
      <c r="C654" t="s">
        <v>64</v>
      </c>
      <c r="D654" t="s">
        <v>1121</v>
      </c>
      <c r="E654" t="s">
        <v>1188</v>
      </c>
      <c r="F654" t="s">
        <v>1266</v>
      </c>
      <c r="G654" t="s">
        <v>1118</v>
      </c>
    </row>
    <row r="655" spans="1:7" x14ac:dyDescent="0.3">
      <c r="A655" t="s">
        <v>1373</v>
      </c>
      <c r="B655" t="s">
        <v>60</v>
      </c>
      <c r="C655" t="s">
        <v>61</v>
      </c>
      <c r="D655" t="s">
        <v>1123</v>
      </c>
      <c r="E655" t="s">
        <v>47</v>
      </c>
      <c r="F655" t="s">
        <v>848</v>
      </c>
      <c r="G655" t="s">
        <v>1121</v>
      </c>
    </row>
    <row r="656" spans="1:7" x14ac:dyDescent="0.3">
      <c r="A656" t="s">
        <v>1475</v>
      </c>
      <c r="B656" t="s">
        <v>49</v>
      </c>
      <c r="C656" t="s">
        <v>52</v>
      </c>
      <c r="D656" t="s">
        <v>1121</v>
      </c>
      <c r="E656" t="s">
        <v>207</v>
      </c>
      <c r="F656" t="s">
        <v>849</v>
      </c>
      <c r="G656" t="s">
        <v>1122</v>
      </c>
    </row>
    <row r="657" spans="1:7" x14ac:dyDescent="0.3">
      <c r="A657" t="s">
        <v>1607</v>
      </c>
      <c r="B657" t="s">
        <v>850</v>
      </c>
      <c r="C657" t="s">
        <v>90</v>
      </c>
      <c r="D657" t="s">
        <v>700</v>
      </c>
      <c r="E657" t="s">
        <v>709</v>
      </c>
      <c r="F657" t="s">
        <v>851</v>
      </c>
      <c r="G657" t="s">
        <v>1119</v>
      </c>
    </row>
    <row r="658" spans="1:7" x14ac:dyDescent="0.3">
      <c r="A658" t="s">
        <v>1551</v>
      </c>
      <c r="B658" t="s">
        <v>621</v>
      </c>
      <c r="C658" t="s">
        <v>57</v>
      </c>
      <c r="D658" t="s">
        <v>1121</v>
      </c>
      <c r="E658" t="s">
        <v>728</v>
      </c>
      <c r="F658" t="s">
        <v>852</v>
      </c>
      <c r="G658" t="s">
        <v>1120</v>
      </c>
    </row>
    <row r="659" spans="1:7" x14ac:dyDescent="0.3">
      <c r="A659" t="s">
        <v>1608</v>
      </c>
      <c r="B659" t="s">
        <v>93</v>
      </c>
      <c r="C659" t="s">
        <v>57</v>
      </c>
      <c r="D659" t="s">
        <v>1118</v>
      </c>
      <c r="E659" t="s">
        <v>1267</v>
      </c>
      <c r="F659" t="s">
        <v>854</v>
      </c>
      <c r="G659" t="s">
        <v>1118</v>
      </c>
    </row>
    <row r="660" spans="1:7" x14ac:dyDescent="0.3">
      <c r="A660" t="s">
        <v>1570</v>
      </c>
      <c r="B660" t="s">
        <v>108</v>
      </c>
      <c r="C660" t="s">
        <v>109</v>
      </c>
      <c r="D660" t="s">
        <v>1120</v>
      </c>
      <c r="E660" t="s">
        <v>546</v>
      </c>
      <c r="F660" t="s">
        <v>855</v>
      </c>
      <c r="G660" t="s">
        <v>1119</v>
      </c>
    </row>
    <row r="661" spans="1:7" x14ac:dyDescent="0.3">
      <c r="A661" t="s">
        <v>1609</v>
      </c>
      <c r="B661" t="s">
        <v>89</v>
      </c>
      <c r="C661" t="s">
        <v>90</v>
      </c>
      <c r="D661" t="s">
        <v>700</v>
      </c>
      <c r="E661" t="s">
        <v>209</v>
      </c>
      <c r="F661" t="s">
        <v>657</v>
      </c>
      <c r="G661" t="s">
        <v>1122</v>
      </c>
    </row>
    <row r="662" spans="1:7" x14ac:dyDescent="0.3">
      <c r="A662" t="s">
        <v>1362</v>
      </c>
      <c r="B662" t="s">
        <v>49</v>
      </c>
      <c r="C662" t="s">
        <v>50</v>
      </c>
      <c r="D662" t="s">
        <v>1118</v>
      </c>
      <c r="E662" t="s">
        <v>707</v>
      </c>
      <c r="F662" t="s">
        <v>856</v>
      </c>
      <c r="G662" t="s">
        <v>1118</v>
      </c>
    </row>
    <row r="663" spans="1:7" x14ac:dyDescent="0.3">
      <c r="A663" t="s">
        <v>1444</v>
      </c>
      <c r="B663" t="s">
        <v>41</v>
      </c>
      <c r="C663" t="s">
        <v>42</v>
      </c>
      <c r="D663" t="s">
        <v>1123</v>
      </c>
      <c r="E663" t="s">
        <v>351</v>
      </c>
      <c r="F663" t="s">
        <v>352</v>
      </c>
      <c r="G663" t="s">
        <v>1119</v>
      </c>
    </row>
    <row r="664" spans="1:7" x14ac:dyDescent="0.3">
      <c r="A664" t="s">
        <v>1333</v>
      </c>
      <c r="B664" t="s">
        <v>27</v>
      </c>
      <c r="C664" t="s">
        <v>34</v>
      </c>
      <c r="D664" t="s">
        <v>700</v>
      </c>
      <c r="E664" t="s">
        <v>653</v>
      </c>
      <c r="F664" t="s">
        <v>628</v>
      </c>
      <c r="G664" t="s">
        <v>1122</v>
      </c>
    </row>
    <row r="665" spans="1:7" x14ac:dyDescent="0.3">
      <c r="A665" t="s">
        <v>1545</v>
      </c>
      <c r="B665" t="s">
        <v>41</v>
      </c>
      <c r="C665" t="s">
        <v>73</v>
      </c>
      <c r="D665" t="s">
        <v>700</v>
      </c>
      <c r="E665" t="s">
        <v>344</v>
      </c>
      <c r="F665" t="s">
        <v>857</v>
      </c>
      <c r="G665" t="s">
        <v>1119</v>
      </c>
    </row>
    <row r="666" spans="1:7" x14ac:dyDescent="0.3">
      <c r="A666" t="s">
        <v>1318</v>
      </c>
      <c r="B666" t="s">
        <v>49</v>
      </c>
      <c r="C666" t="s">
        <v>52</v>
      </c>
      <c r="D666" t="s">
        <v>1123</v>
      </c>
      <c r="E666" t="s">
        <v>211</v>
      </c>
      <c r="F666" t="s">
        <v>858</v>
      </c>
      <c r="G666" t="s">
        <v>1120</v>
      </c>
    </row>
    <row r="667" spans="1:7" x14ac:dyDescent="0.3">
      <c r="A667" t="s">
        <v>1523</v>
      </c>
      <c r="B667" t="s">
        <v>108</v>
      </c>
      <c r="C667" t="s">
        <v>169</v>
      </c>
      <c r="D667" t="s">
        <v>700</v>
      </c>
      <c r="E667" t="s">
        <v>495</v>
      </c>
      <c r="F667" t="s">
        <v>521</v>
      </c>
      <c r="G667" t="s">
        <v>1119</v>
      </c>
    </row>
    <row r="668" spans="1:7" x14ac:dyDescent="0.3">
      <c r="A668" t="s">
        <v>1559</v>
      </c>
      <c r="B668" t="s">
        <v>93</v>
      </c>
      <c r="C668" t="s">
        <v>57</v>
      </c>
      <c r="D668" t="s">
        <v>1123</v>
      </c>
      <c r="E668" t="s">
        <v>47</v>
      </c>
      <c r="F668" t="s">
        <v>859</v>
      </c>
      <c r="G668" t="s">
        <v>700</v>
      </c>
    </row>
    <row r="669" spans="1:7" x14ac:dyDescent="0.3">
      <c r="A669" t="s">
        <v>1324</v>
      </c>
      <c r="B669" t="s">
        <v>41</v>
      </c>
      <c r="C669" t="s">
        <v>42</v>
      </c>
      <c r="D669" t="s">
        <v>1121</v>
      </c>
      <c r="E669" t="s">
        <v>370</v>
      </c>
      <c r="F669" t="s">
        <v>860</v>
      </c>
      <c r="G669" t="s">
        <v>1118</v>
      </c>
    </row>
    <row r="670" spans="1:7" x14ac:dyDescent="0.3">
      <c r="A670" t="s">
        <v>1364</v>
      </c>
      <c r="B670" t="s">
        <v>41</v>
      </c>
      <c r="C670" t="s">
        <v>73</v>
      </c>
      <c r="D670" t="s">
        <v>1118</v>
      </c>
      <c r="E670" t="s">
        <v>640</v>
      </c>
      <c r="F670" t="s">
        <v>66</v>
      </c>
      <c r="G670" t="s">
        <v>1118</v>
      </c>
    </row>
    <row r="671" spans="1:7" x14ac:dyDescent="0.3">
      <c r="A671" t="s">
        <v>1594</v>
      </c>
      <c r="B671" t="s">
        <v>108</v>
      </c>
      <c r="C671" t="s">
        <v>208</v>
      </c>
      <c r="D671" t="s">
        <v>1123</v>
      </c>
      <c r="E671" t="s">
        <v>555</v>
      </c>
      <c r="F671" t="s">
        <v>861</v>
      </c>
      <c r="G671" t="s">
        <v>1119</v>
      </c>
    </row>
    <row r="672" spans="1:7" x14ac:dyDescent="0.3">
      <c r="A672" t="s">
        <v>1519</v>
      </c>
      <c r="B672" t="s">
        <v>116</v>
      </c>
      <c r="C672" t="s">
        <v>50</v>
      </c>
      <c r="D672" t="s">
        <v>1120</v>
      </c>
      <c r="E672" t="s">
        <v>316</v>
      </c>
      <c r="F672" t="s">
        <v>862</v>
      </c>
      <c r="G672" t="s">
        <v>1120</v>
      </c>
    </row>
    <row r="673" spans="1:7" x14ac:dyDescent="0.3">
      <c r="A673" t="s">
        <v>1526</v>
      </c>
      <c r="B673" t="s">
        <v>60</v>
      </c>
      <c r="C673" t="s">
        <v>64</v>
      </c>
      <c r="D673" t="s">
        <v>1118</v>
      </c>
      <c r="E673" t="s">
        <v>863</v>
      </c>
      <c r="F673" t="s">
        <v>864</v>
      </c>
      <c r="G673" t="s">
        <v>1119</v>
      </c>
    </row>
    <row r="674" spans="1:7" x14ac:dyDescent="0.3">
      <c r="A674" t="s">
        <v>1610</v>
      </c>
      <c r="B674" t="s">
        <v>27</v>
      </c>
      <c r="C674" t="s">
        <v>38</v>
      </c>
      <c r="D674" t="s">
        <v>1121</v>
      </c>
      <c r="E674" t="s">
        <v>226</v>
      </c>
      <c r="F674" t="s">
        <v>66</v>
      </c>
      <c r="G674" t="s">
        <v>1122</v>
      </c>
    </row>
    <row r="675" spans="1:7" x14ac:dyDescent="0.3">
      <c r="A675" t="s">
        <v>1611</v>
      </c>
      <c r="B675" t="s">
        <v>89</v>
      </c>
      <c r="C675" t="s">
        <v>90</v>
      </c>
      <c r="D675" t="s">
        <v>700</v>
      </c>
      <c r="E675" t="s">
        <v>172</v>
      </c>
      <c r="F675" t="s">
        <v>865</v>
      </c>
      <c r="G675" t="s">
        <v>1122</v>
      </c>
    </row>
    <row r="676" spans="1:7" x14ac:dyDescent="0.3">
      <c r="A676" t="s">
        <v>1459</v>
      </c>
      <c r="B676" t="s">
        <v>27</v>
      </c>
      <c r="C676" t="s">
        <v>34</v>
      </c>
      <c r="D676" t="s">
        <v>1118</v>
      </c>
      <c r="E676" t="s">
        <v>174</v>
      </c>
      <c r="F676" t="s">
        <v>866</v>
      </c>
      <c r="G676" t="s">
        <v>1119</v>
      </c>
    </row>
    <row r="677" spans="1:7" x14ac:dyDescent="0.3">
      <c r="A677" t="s">
        <v>1426</v>
      </c>
      <c r="B677" t="s">
        <v>300</v>
      </c>
      <c r="C677" t="s">
        <v>46</v>
      </c>
      <c r="D677" t="s">
        <v>1118</v>
      </c>
      <c r="E677" t="s">
        <v>416</v>
      </c>
      <c r="F677" t="s">
        <v>867</v>
      </c>
      <c r="G677" t="s">
        <v>1122</v>
      </c>
    </row>
    <row r="678" spans="1:7" x14ac:dyDescent="0.3">
      <c r="A678" t="s">
        <v>1423</v>
      </c>
      <c r="B678" t="s">
        <v>108</v>
      </c>
      <c r="C678" t="s">
        <v>208</v>
      </c>
      <c r="D678" t="s">
        <v>1120</v>
      </c>
      <c r="E678" t="s">
        <v>1268</v>
      </c>
      <c r="F678" t="s">
        <v>868</v>
      </c>
      <c r="G678" t="s">
        <v>1119</v>
      </c>
    </row>
    <row r="679" spans="1:7" x14ac:dyDescent="0.3">
      <c r="A679" t="s">
        <v>1400</v>
      </c>
      <c r="B679" t="s">
        <v>108</v>
      </c>
      <c r="C679" t="s">
        <v>208</v>
      </c>
      <c r="D679" t="s">
        <v>1120</v>
      </c>
      <c r="E679" t="s">
        <v>869</v>
      </c>
      <c r="F679" t="s">
        <v>870</v>
      </c>
      <c r="G679" t="s">
        <v>1122</v>
      </c>
    </row>
    <row r="680" spans="1:7" x14ac:dyDescent="0.3">
      <c r="A680" t="s">
        <v>1566</v>
      </c>
      <c r="B680" t="s">
        <v>27</v>
      </c>
      <c r="C680" t="s">
        <v>28</v>
      </c>
      <c r="D680" t="s">
        <v>1123</v>
      </c>
      <c r="E680" t="s">
        <v>525</v>
      </c>
      <c r="F680" t="s">
        <v>362</v>
      </c>
      <c r="G680" t="s">
        <v>1122</v>
      </c>
    </row>
    <row r="681" spans="1:7" x14ac:dyDescent="0.3">
      <c r="A681" t="s">
        <v>1339</v>
      </c>
      <c r="B681" t="s">
        <v>60</v>
      </c>
      <c r="C681" t="s">
        <v>61</v>
      </c>
      <c r="D681" t="s">
        <v>700</v>
      </c>
      <c r="E681" t="s">
        <v>684</v>
      </c>
      <c r="F681" t="s">
        <v>871</v>
      </c>
      <c r="G681" t="s">
        <v>1118</v>
      </c>
    </row>
    <row r="682" spans="1:7" x14ac:dyDescent="0.3">
      <c r="A682" t="s">
        <v>1385</v>
      </c>
      <c r="B682" t="s">
        <v>60</v>
      </c>
      <c r="C682" t="s">
        <v>64</v>
      </c>
      <c r="D682" t="s">
        <v>1121</v>
      </c>
      <c r="E682" t="s">
        <v>39</v>
      </c>
      <c r="F682" t="s">
        <v>66</v>
      </c>
      <c r="G682" t="s">
        <v>1118</v>
      </c>
    </row>
    <row r="683" spans="1:7" x14ac:dyDescent="0.3">
      <c r="A683" t="s">
        <v>1591</v>
      </c>
      <c r="B683" t="s">
        <v>93</v>
      </c>
      <c r="C683" t="s">
        <v>57</v>
      </c>
      <c r="D683" t="s">
        <v>1118</v>
      </c>
      <c r="E683" t="s">
        <v>106</v>
      </c>
      <c r="F683" t="s">
        <v>872</v>
      </c>
      <c r="G683" t="s">
        <v>1118</v>
      </c>
    </row>
    <row r="684" spans="1:7" x14ac:dyDescent="0.3">
      <c r="A684" t="s">
        <v>1520</v>
      </c>
      <c r="B684" t="s">
        <v>108</v>
      </c>
      <c r="C684" t="s">
        <v>109</v>
      </c>
      <c r="D684" t="s">
        <v>1123</v>
      </c>
      <c r="E684" t="s">
        <v>829</v>
      </c>
      <c r="F684" t="s">
        <v>1269</v>
      </c>
      <c r="G684" t="s">
        <v>1122</v>
      </c>
    </row>
    <row r="685" spans="1:7" x14ac:dyDescent="0.3">
      <c r="A685" t="s">
        <v>1612</v>
      </c>
      <c r="B685" t="s">
        <v>312</v>
      </c>
      <c r="C685" t="s">
        <v>80</v>
      </c>
      <c r="D685" t="s">
        <v>1118</v>
      </c>
      <c r="E685" t="s">
        <v>153</v>
      </c>
      <c r="F685" t="s">
        <v>873</v>
      </c>
      <c r="G685" t="s">
        <v>1120</v>
      </c>
    </row>
    <row r="686" spans="1:7" x14ac:dyDescent="0.3">
      <c r="A686" t="s">
        <v>1583</v>
      </c>
      <c r="B686" t="s">
        <v>60</v>
      </c>
      <c r="C686" t="s">
        <v>64</v>
      </c>
      <c r="D686" t="s">
        <v>1118</v>
      </c>
      <c r="E686" t="s">
        <v>874</v>
      </c>
      <c r="F686" t="s">
        <v>875</v>
      </c>
      <c r="G686" t="s">
        <v>1121</v>
      </c>
    </row>
    <row r="687" spans="1:7" x14ac:dyDescent="0.3">
      <c r="A687" t="s">
        <v>1327</v>
      </c>
      <c r="B687" t="s">
        <v>108</v>
      </c>
      <c r="C687" t="s">
        <v>109</v>
      </c>
      <c r="D687" t="s">
        <v>1118</v>
      </c>
      <c r="E687" t="s">
        <v>370</v>
      </c>
      <c r="F687" t="s">
        <v>784</v>
      </c>
      <c r="G687" t="s">
        <v>1120</v>
      </c>
    </row>
    <row r="688" spans="1:7" x14ac:dyDescent="0.3">
      <c r="A688" t="s">
        <v>1558</v>
      </c>
      <c r="B688" t="s">
        <v>27</v>
      </c>
      <c r="C688" t="s">
        <v>31</v>
      </c>
      <c r="D688" t="s">
        <v>1123</v>
      </c>
      <c r="E688" t="s">
        <v>1174</v>
      </c>
      <c r="F688" t="s">
        <v>876</v>
      </c>
      <c r="G688" t="s">
        <v>1122</v>
      </c>
    </row>
    <row r="689" spans="1:7" x14ac:dyDescent="0.3">
      <c r="A689" t="s">
        <v>1523</v>
      </c>
      <c r="B689" t="s">
        <v>89</v>
      </c>
      <c r="C689" t="s">
        <v>90</v>
      </c>
      <c r="D689" t="s">
        <v>1121</v>
      </c>
      <c r="E689" t="s">
        <v>1188</v>
      </c>
      <c r="F689" t="s">
        <v>877</v>
      </c>
      <c r="G689" t="s">
        <v>1122</v>
      </c>
    </row>
    <row r="690" spans="1:7" x14ac:dyDescent="0.3">
      <c r="A690" t="s">
        <v>1480</v>
      </c>
      <c r="B690" t="s">
        <v>108</v>
      </c>
      <c r="C690" t="s">
        <v>169</v>
      </c>
      <c r="D690" t="s">
        <v>1121</v>
      </c>
      <c r="E690" t="s">
        <v>159</v>
      </c>
      <c r="F690" t="s">
        <v>180</v>
      </c>
      <c r="G690" t="s">
        <v>1122</v>
      </c>
    </row>
    <row r="691" spans="1:7" x14ac:dyDescent="0.3">
      <c r="A691" t="s">
        <v>1479</v>
      </c>
      <c r="B691" t="s">
        <v>93</v>
      </c>
      <c r="C691" t="s">
        <v>57</v>
      </c>
      <c r="D691" t="s">
        <v>1120</v>
      </c>
      <c r="E691" t="s">
        <v>66</v>
      </c>
      <c r="F691" t="s">
        <v>878</v>
      </c>
      <c r="G691" t="s">
        <v>1119</v>
      </c>
    </row>
    <row r="692" spans="1:7" x14ac:dyDescent="0.3">
      <c r="A692" t="s">
        <v>1500</v>
      </c>
      <c r="B692" t="s">
        <v>49</v>
      </c>
      <c r="C692" t="s">
        <v>52</v>
      </c>
      <c r="D692" t="s">
        <v>1120</v>
      </c>
      <c r="E692" t="s">
        <v>102</v>
      </c>
      <c r="F692" t="s">
        <v>713</v>
      </c>
      <c r="G692" t="s">
        <v>1122</v>
      </c>
    </row>
    <row r="693" spans="1:7" x14ac:dyDescent="0.3">
      <c r="A693" t="s">
        <v>1557</v>
      </c>
      <c r="B693" t="s">
        <v>41</v>
      </c>
      <c r="C693" t="s">
        <v>73</v>
      </c>
      <c r="D693" t="s">
        <v>1118</v>
      </c>
      <c r="E693" t="s">
        <v>664</v>
      </c>
      <c r="F693" t="s">
        <v>879</v>
      </c>
      <c r="G693" t="s">
        <v>1122</v>
      </c>
    </row>
    <row r="694" spans="1:7" x14ac:dyDescent="0.3">
      <c r="A694" t="s">
        <v>1572</v>
      </c>
      <c r="B694" t="s">
        <v>49</v>
      </c>
      <c r="C694" t="s">
        <v>50</v>
      </c>
      <c r="D694" t="s">
        <v>1123</v>
      </c>
      <c r="E694" t="s">
        <v>638</v>
      </c>
      <c r="F694" t="s">
        <v>880</v>
      </c>
      <c r="G694" t="s">
        <v>1118</v>
      </c>
    </row>
    <row r="695" spans="1:7" x14ac:dyDescent="0.3">
      <c r="A695" t="s">
        <v>1141</v>
      </c>
      <c r="B695" t="s">
        <v>41</v>
      </c>
      <c r="C695" t="s">
        <v>42</v>
      </c>
      <c r="D695" t="s">
        <v>1120</v>
      </c>
      <c r="E695" t="s">
        <v>378</v>
      </c>
      <c r="F695" t="s">
        <v>881</v>
      </c>
      <c r="G695" t="s">
        <v>1122</v>
      </c>
    </row>
    <row r="696" spans="1:7" x14ac:dyDescent="0.3">
      <c r="A696" t="s">
        <v>1613</v>
      </c>
      <c r="B696" t="s">
        <v>93</v>
      </c>
      <c r="C696" t="s">
        <v>101</v>
      </c>
      <c r="D696" t="s">
        <v>1121</v>
      </c>
      <c r="E696" t="s">
        <v>32</v>
      </c>
      <c r="F696" t="s">
        <v>1270</v>
      </c>
      <c r="G696" t="s">
        <v>1122</v>
      </c>
    </row>
    <row r="697" spans="1:7" x14ac:dyDescent="0.3">
      <c r="A697" t="s">
        <v>1380</v>
      </c>
      <c r="B697" t="s">
        <v>41</v>
      </c>
      <c r="C697" t="s">
        <v>46</v>
      </c>
      <c r="D697" t="s">
        <v>1118</v>
      </c>
      <c r="E697" t="s">
        <v>882</v>
      </c>
      <c r="F697" t="s">
        <v>883</v>
      </c>
      <c r="G697" t="s">
        <v>1119</v>
      </c>
    </row>
    <row r="698" spans="1:7" x14ac:dyDescent="0.3">
      <c r="A698" t="s">
        <v>1318</v>
      </c>
      <c r="B698" t="s">
        <v>93</v>
      </c>
      <c r="C698" t="s">
        <v>101</v>
      </c>
      <c r="D698" t="s">
        <v>700</v>
      </c>
      <c r="E698" t="s">
        <v>91</v>
      </c>
      <c r="F698" t="s">
        <v>884</v>
      </c>
      <c r="G698" t="s">
        <v>1119</v>
      </c>
    </row>
    <row r="699" spans="1:7" x14ac:dyDescent="0.3">
      <c r="A699" t="s">
        <v>1359</v>
      </c>
      <c r="B699" t="s">
        <v>27</v>
      </c>
      <c r="C699" t="s">
        <v>28</v>
      </c>
      <c r="D699" t="s">
        <v>1123</v>
      </c>
      <c r="E699" t="s">
        <v>413</v>
      </c>
      <c r="F699" t="s">
        <v>885</v>
      </c>
      <c r="G699" t="s">
        <v>1122</v>
      </c>
    </row>
    <row r="700" spans="1:7" x14ac:dyDescent="0.3">
      <c r="A700" t="s">
        <v>1448</v>
      </c>
      <c r="B700" t="s">
        <v>1156</v>
      </c>
      <c r="C700" t="s">
        <v>38</v>
      </c>
      <c r="D700" t="s">
        <v>1121</v>
      </c>
      <c r="E700" t="s">
        <v>359</v>
      </c>
      <c r="F700" t="s">
        <v>231</v>
      </c>
      <c r="G700" t="s">
        <v>1122</v>
      </c>
    </row>
    <row r="701" spans="1:7" x14ac:dyDescent="0.3">
      <c r="A701" t="s">
        <v>1608</v>
      </c>
      <c r="B701" t="s">
        <v>89</v>
      </c>
      <c r="C701" t="s">
        <v>90</v>
      </c>
      <c r="D701" t="s">
        <v>700</v>
      </c>
      <c r="E701" t="s">
        <v>709</v>
      </c>
      <c r="F701" t="s">
        <v>717</v>
      </c>
      <c r="G701" t="s">
        <v>1118</v>
      </c>
    </row>
    <row r="702" spans="1:7" x14ac:dyDescent="0.3">
      <c r="A702" t="s">
        <v>1501</v>
      </c>
      <c r="B702" t="s">
        <v>108</v>
      </c>
      <c r="C702" t="s">
        <v>109</v>
      </c>
      <c r="D702" t="s">
        <v>1121</v>
      </c>
      <c r="E702" t="s">
        <v>293</v>
      </c>
      <c r="F702" t="s">
        <v>799</v>
      </c>
      <c r="G702" t="s">
        <v>1118</v>
      </c>
    </row>
    <row r="703" spans="1:7" x14ac:dyDescent="0.3">
      <c r="A703" t="s">
        <v>1142</v>
      </c>
      <c r="B703" t="s">
        <v>41</v>
      </c>
      <c r="C703" t="s">
        <v>42</v>
      </c>
      <c r="D703" t="s">
        <v>1123</v>
      </c>
      <c r="E703" t="s">
        <v>240</v>
      </c>
      <c r="F703" t="s">
        <v>886</v>
      </c>
      <c r="G703" t="s">
        <v>1122</v>
      </c>
    </row>
    <row r="704" spans="1:7" x14ac:dyDescent="0.3">
      <c r="A704" t="s">
        <v>1545</v>
      </c>
      <c r="B704" t="s">
        <v>108</v>
      </c>
      <c r="C704" t="s">
        <v>109</v>
      </c>
      <c r="D704" t="s">
        <v>1123</v>
      </c>
      <c r="E704" t="s">
        <v>1179</v>
      </c>
      <c r="F704" t="s">
        <v>71</v>
      </c>
      <c r="G704" t="s">
        <v>1122</v>
      </c>
    </row>
    <row r="705" spans="1:7" x14ac:dyDescent="0.3">
      <c r="A705" t="s">
        <v>1363</v>
      </c>
      <c r="B705" t="s">
        <v>89</v>
      </c>
      <c r="C705" t="s">
        <v>90</v>
      </c>
      <c r="D705" t="s">
        <v>1121</v>
      </c>
      <c r="E705" t="s">
        <v>66</v>
      </c>
      <c r="F705" t="s">
        <v>887</v>
      </c>
      <c r="G705" t="s">
        <v>1119</v>
      </c>
    </row>
    <row r="706" spans="1:7" x14ac:dyDescent="0.3">
      <c r="A706" t="s">
        <v>1333</v>
      </c>
      <c r="B706" t="s">
        <v>27</v>
      </c>
      <c r="C706" t="s">
        <v>28</v>
      </c>
      <c r="D706" t="s">
        <v>1118</v>
      </c>
      <c r="E706" t="s">
        <v>32</v>
      </c>
      <c r="F706" t="s">
        <v>888</v>
      </c>
      <c r="G706" t="s">
        <v>1122</v>
      </c>
    </row>
    <row r="707" spans="1:7" x14ac:dyDescent="0.3">
      <c r="A707" t="s">
        <v>1446</v>
      </c>
      <c r="B707" t="s">
        <v>93</v>
      </c>
      <c r="C707" t="s">
        <v>101</v>
      </c>
      <c r="D707" t="s">
        <v>700</v>
      </c>
      <c r="E707" t="s">
        <v>889</v>
      </c>
      <c r="F707" t="s">
        <v>1271</v>
      </c>
      <c r="G707" t="s">
        <v>1118</v>
      </c>
    </row>
    <row r="708" spans="1:7" x14ac:dyDescent="0.3">
      <c r="A708" t="s">
        <v>1463</v>
      </c>
      <c r="B708" t="s">
        <v>890</v>
      </c>
      <c r="C708" t="s">
        <v>42</v>
      </c>
      <c r="D708" t="s">
        <v>1123</v>
      </c>
      <c r="E708" t="s">
        <v>891</v>
      </c>
      <c r="F708" t="s">
        <v>105</v>
      </c>
      <c r="G708" t="s">
        <v>1121</v>
      </c>
    </row>
    <row r="709" spans="1:7" x14ac:dyDescent="0.3">
      <c r="A709" t="s">
        <v>1433</v>
      </c>
      <c r="B709" t="s">
        <v>116</v>
      </c>
      <c r="C709" t="s">
        <v>50</v>
      </c>
      <c r="D709" t="s">
        <v>1120</v>
      </c>
      <c r="E709" t="s">
        <v>47</v>
      </c>
      <c r="F709" t="s">
        <v>892</v>
      </c>
      <c r="G709" t="s">
        <v>1118</v>
      </c>
    </row>
    <row r="710" spans="1:7" x14ac:dyDescent="0.3">
      <c r="A710" t="s">
        <v>1614</v>
      </c>
      <c r="B710" t="s">
        <v>108</v>
      </c>
      <c r="C710" t="s">
        <v>208</v>
      </c>
      <c r="D710" t="s">
        <v>1120</v>
      </c>
      <c r="E710" t="s">
        <v>843</v>
      </c>
      <c r="F710" t="s">
        <v>893</v>
      </c>
      <c r="G710" t="s">
        <v>1119</v>
      </c>
    </row>
    <row r="711" spans="1:7" x14ac:dyDescent="0.3">
      <c r="A711" t="s">
        <v>1395</v>
      </c>
      <c r="B711" t="s">
        <v>60</v>
      </c>
      <c r="C711" t="s">
        <v>61</v>
      </c>
      <c r="D711" t="s">
        <v>1123</v>
      </c>
      <c r="E711" t="s">
        <v>646</v>
      </c>
      <c r="F711" t="s">
        <v>1272</v>
      </c>
      <c r="G711" t="s">
        <v>1122</v>
      </c>
    </row>
    <row r="712" spans="1:7" x14ac:dyDescent="0.3">
      <c r="A712" t="s">
        <v>1414</v>
      </c>
      <c r="B712" t="s">
        <v>41</v>
      </c>
      <c r="C712" t="s">
        <v>42</v>
      </c>
      <c r="D712" t="s">
        <v>1118</v>
      </c>
      <c r="E712" t="s">
        <v>894</v>
      </c>
      <c r="F712" t="s">
        <v>1273</v>
      </c>
      <c r="G712" t="s">
        <v>1118</v>
      </c>
    </row>
    <row r="713" spans="1:7" x14ac:dyDescent="0.3">
      <c r="A713" t="s">
        <v>1594</v>
      </c>
      <c r="B713" t="s">
        <v>41</v>
      </c>
      <c r="C713" t="s">
        <v>73</v>
      </c>
      <c r="D713" t="s">
        <v>1120</v>
      </c>
      <c r="E713" t="s">
        <v>895</v>
      </c>
      <c r="F713" t="s">
        <v>896</v>
      </c>
      <c r="G713" t="s">
        <v>1122</v>
      </c>
    </row>
    <row r="714" spans="1:7" x14ac:dyDescent="0.3">
      <c r="A714" t="s">
        <v>1566</v>
      </c>
      <c r="B714" t="s">
        <v>49</v>
      </c>
      <c r="C714" t="s">
        <v>52</v>
      </c>
      <c r="D714" t="s">
        <v>1121</v>
      </c>
      <c r="E714" t="s">
        <v>1183</v>
      </c>
      <c r="F714" t="s">
        <v>897</v>
      </c>
      <c r="G714" t="s">
        <v>1118</v>
      </c>
    </row>
    <row r="715" spans="1:7" x14ac:dyDescent="0.3">
      <c r="A715" t="s">
        <v>1615</v>
      </c>
      <c r="B715" t="s">
        <v>372</v>
      </c>
      <c r="C715" t="s">
        <v>66</v>
      </c>
      <c r="D715" t="s">
        <v>1121</v>
      </c>
      <c r="E715" t="s">
        <v>651</v>
      </c>
      <c r="F715" t="s">
        <v>898</v>
      </c>
      <c r="G715" t="s">
        <v>1118</v>
      </c>
    </row>
    <row r="716" spans="1:7" x14ac:dyDescent="0.3">
      <c r="A716" t="s">
        <v>1321</v>
      </c>
      <c r="B716" t="s">
        <v>136</v>
      </c>
      <c r="C716" t="s">
        <v>80</v>
      </c>
      <c r="D716" t="s">
        <v>1123</v>
      </c>
      <c r="E716" t="s">
        <v>157</v>
      </c>
      <c r="F716" t="s">
        <v>899</v>
      </c>
      <c r="G716" t="s">
        <v>1122</v>
      </c>
    </row>
    <row r="717" spans="1:7" x14ac:dyDescent="0.3">
      <c r="A717" t="s">
        <v>1351</v>
      </c>
      <c r="B717" t="s">
        <v>89</v>
      </c>
      <c r="C717" t="s">
        <v>90</v>
      </c>
      <c r="D717" t="s">
        <v>700</v>
      </c>
      <c r="E717" t="s">
        <v>176</v>
      </c>
      <c r="F717" t="s">
        <v>177</v>
      </c>
      <c r="G717" t="s">
        <v>1122</v>
      </c>
    </row>
    <row r="718" spans="1:7" x14ac:dyDescent="0.3">
      <c r="A718" t="s">
        <v>1616</v>
      </c>
      <c r="B718" t="s">
        <v>49</v>
      </c>
      <c r="C718" t="s">
        <v>52</v>
      </c>
      <c r="D718" t="s">
        <v>1118</v>
      </c>
      <c r="E718" t="s">
        <v>66</v>
      </c>
      <c r="F718" t="s">
        <v>900</v>
      </c>
      <c r="G718" t="s">
        <v>1118</v>
      </c>
    </row>
    <row r="719" spans="1:7" x14ac:dyDescent="0.3">
      <c r="A719" t="s">
        <v>1343</v>
      </c>
      <c r="B719" t="s">
        <v>60</v>
      </c>
      <c r="C719" t="s">
        <v>64</v>
      </c>
      <c r="D719" t="s">
        <v>1121</v>
      </c>
      <c r="E719" t="s">
        <v>675</v>
      </c>
      <c r="F719" t="s">
        <v>901</v>
      </c>
      <c r="G719" t="s">
        <v>1119</v>
      </c>
    </row>
    <row r="720" spans="1:7" x14ac:dyDescent="0.3">
      <c r="A720" t="s">
        <v>1617</v>
      </c>
      <c r="B720" t="s">
        <v>89</v>
      </c>
      <c r="C720" t="s">
        <v>90</v>
      </c>
      <c r="D720" t="s">
        <v>1123</v>
      </c>
      <c r="E720" t="s">
        <v>869</v>
      </c>
      <c r="F720" t="s">
        <v>902</v>
      </c>
      <c r="G720" t="s">
        <v>1119</v>
      </c>
    </row>
    <row r="721" spans="1:7" x14ac:dyDescent="0.3">
      <c r="A721" t="s">
        <v>1489</v>
      </c>
      <c r="B721" t="s">
        <v>93</v>
      </c>
      <c r="C721" t="s">
        <v>57</v>
      </c>
      <c r="D721" t="s">
        <v>1123</v>
      </c>
      <c r="E721" t="s">
        <v>186</v>
      </c>
      <c r="F721" t="s">
        <v>903</v>
      </c>
      <c r="G721" t="s">
        <v>1121</v>
      </c>
    </row>
    <row r="722" spans="1:7" x14ac:dyDescent="0.3">
      <c r="A722" t="s">
        <v>1350</v>
      </c>
      <c r="B722" t="s">
        <v>93</v>
      </c>
      <c r="C722" t="s">
        <v>57</v>
      </c>
      <c r="D722" t="s">
        <v>1123</v>
      </c>
      <c r="E722" t="s">
        <v>238</v>
      </c>
      <c r="F722" t="s">
        <v>687</v>
      </c>
      <c r="G722" t="s">
        <v>1121</v>
      </c>
    </row>
    <row r="723" spans="1:7" x14ac:dyDescent="0.3">
      <c r="A723" t="s">
        <v>1618</v>
      </c>
      <c r="B723" t="s">
        <v>49</v>
      </c>
      <c r="C723" t="s">
        <v>50</v>
      </c>
      <c r="D723" t="s">
        <v>1120</v>
      </c>
      <c r="E723" t="s">
        <v>1184</v>
      </c>
      <c r="F723" t="s">
        <v>904</v>
      </c>
      <c r="G723" t="s">
        <v>1118</v>
      </c>
    </row>
    <row r="724" spans="1:7" x14ac:dyDescent="0.3">
      <c r="A724" t="s">
        <v>1521</v>
      </c>
      <c r="B724" t="s">
        <v>60</v>
      </c>
      <c r="C724" t="s">
        <v>69</v>
      </c>
      <c r="D724" t="s">
        <v>1118</v>
      </c>
      <c r="E724" t="s">
        <v>765</v>
      </c>
      <c r="F724" t="s">
        <v>905</v>
      </c>
      <c r="G724" t="s">
        <v>1118</v>
      </c>
    </row>
    <row r="725" spans="1:7" x14ac:dyDescent="0.3">
      <c r="A725" t="s">
        <v>1394</v>
      </c>
      <c r="B725" t="s">
        <v>93</v>
      </c>
      <c r="C725" t="s">
        <v>57</v>
      </c>
      <c r="D725" t="s">
        <v>700</v>
      </c>
      <c r="E725" t="s">
        <v>600</v>
      </c>
      <c r="F725" t="s">
        <v>906</v>
      </c>
      <c r="G725" t="s">
        <v>1122</v>
      </c>
    </row>
    <row r="726" spans="1:7" x14ac:dyDescent="0.3">
      <c r="A726" t="s">
        <v>1435</v>
      </c>
      <c r="B726" t="s">
        <v>289</v>
      </c>
      <c r="C726" t="s">
        <v>90</v>
      </c>
      <c r="D726" t="s">
        <v>700</v>
      </c>
      <c r="E726" t="s">
        <v>907</v>
      </c>
      <c r="F726" t="s">
        <v>908</v>
      </c>
      <c r="G726" t="s">
        <v>1118</v>
      </c>
    </row>
    <row r="727" spans="1:7" x14ac:dyDescent="0.3">
      <c r="A727" t="s">
        <v>1592</v>
      </c>
      <c r="B727" t="s">
        <v>27</v>
      </c>
      <c r="C727" t="s">
        <v>31</v>
      </c>
      <c r="D727" t="s">
        <v>1118</v>
      </c>
      <c r="E727" t="s">
        <v>224</v>
      </c>
      <c r="F727" t="s">
        <v>909</v>
      </c>
      <c r="G727" t="s">
        <v>1118</v>
      </c>
    </row>
    <row r="728" spans="1:7" x14ac:dyDescent="0.3">
      <c r="A728" t="s">
        <v>1495</v>
      </c>
      <c r="B728" t="s">
        <v>93</v>
      </c>
      <c r="C728" t="s">
        <v>101</v>
      </c>
      <c r="D728" t="s">
        <v>1118</v>
      </c>
      <c r="E728" t="s">
        <v>682</v>
      </c>
      <c r="F728" t="s">
        <v>910</v>
      </c>
      <c r="G728" t="s">
        <v>1122</v>
      </c>
    </row>
    <row r="729" spans="1:7" x14ac:dyDescent="0.3">
      <c r="A729" t="s">
        <v>1619</v>
      </c>
      <c r="B729" t="s">
        <v>89</v>
      </c>
      <c r="C729" t="s">
        <v>90</v>
      </c>
      <c r="D729" t="s">
        <v>1123</v>
      </c>
      <c r="E729" t="s">
        <v>183</v>
      </c>
      <c r="F729" t="s">
        <v>911</v>
      </c>
      <c r="G729" t="s">
        <v>1121</v>
      </c>
    </row>
    <row r="730" spans="1:7" x14ac:dyDescent="0.3">
      <c r="A730" t="s">
        <v>1441</v>
      </c>
      <c r="B730" t="s">
        <v>41</v>
      </c>
      <c r="C730" t="s">
        <v>66</v>
      </c>
      <c r="D730" t="s">
        <v>1123</v>
      </c>
      <c r="E730" t="s">
        <v>321</v>
      </c>
      <c r="F730" t="s">
        <v>912</v>
      </c>
      <c r="G730" t="s">
        <v>1121</v>
      </c>
    </row>
    <row r="731" spans="1:7" x14ac:dyDescent="0.3">
      <c r="A731" t="s">
        <v>1554</v>
      </c>
      <c r="B731" t="s">
        <v>89</v>
      </c>
      <c r="C731" t="s">
        <v>131</v>
      </c>
      <c r="D731" t="s">
        <v>1118</v>
      </c>
      <c r="E731" t="s">
        <v>913</v>
      </c>
      <c r="F731" t="s">
        <v>708</v>
      </c>
      <c r="G731" t="s">
        <v>1119</v>
      </c>
    </row>
    <row r="732" spans="1:7" x14ac:dyDescent="0.3">
      <c r="A732" t="s">
        <v>1620</v>
      </c>
      <c r="B732" t="s">
        <v>49</v>
      </c>
      <c r="C732" t="s">
        <v>52</v>
      </c>
      <c r="D732" t="s">
        <v>1118</v>
      </c>
      <c r="E732" t="s">
        <v>106</v>
      </c>
      <c r="F732" t="s">
        <v>182</v>
      </c>
      <c r="G732" t="s">
        <v>1118</v>
      </c>
    </row>
    <row r="733" spans="1:7" x14ac:dyDescent="0.3">
      <c r="A733" t="s">
        <v>1455</v>
      </c>
      <c r="B733" t="s">
        <v>41</v>
      </c>
      <c r="C733" t="s">
        <v>73</v>
      </c>
      <c r="D733" t="s">
        <v>1123</v>
      </c>
      <c r="E733" t="s">
        <v>659</v>
      </c>
      <c r="F733" t="s">
        <v>914</v>
      </c>
      <c r="G733" t="s">
        <v>1118</v>
      </c>
    </row>
    <row r="734" spans="1:7" x14ac:dyDescent="0.3">
      <c r="A734" t="s">
        <v>1296</v>
      </c>
      <c r="B734" t="s">
        <v>49</v>
      </c>
      <c r="C734" t="s">
        <v>52</v>
      </c>
      <c r="D734" t="s">
        <v>1121</v>
      </c>
      <c r="E734" t="s">
        <v>1219</v>
      </c>
      <c r="F734" t="s">
        <v>504</v>
      </c>
      <c r="G734" t="s">
        <v>1121</v>
      </c>
    </row>
    <row r="735" spans="1:7" x14ac:dyDescent="0.3">
      <c r="A735" t="s">
        <v>1614</v>
      </c>
      <c r="B735" t="s">
        <v>93</v>
      </c>
      <c r="C735" t="s">
        <v>101</v>
      </c>
      <c r="D735" t="s">
        <v>1121</v>
      </c>
      <c r="E735" t="s">
        <v>248</v>
      </c>
      <c r="F735" t="s">
        <v>870</v>
      </c>
      <c r="G735" t="s">
        <v>1118</v>
      </c>
    </row>
    <row r="736" spans="1:7" x14ac:dyDescent="0.3">
      <c r="A736" t="s">
        <v>1478</v>
      </c>
      <c r="B736" t="s">
        <v>108</v>
      </c>
      <c r="C736" t="s">
        <v>208</v>
      </c>
      <c r="D736" t="s">
        <v>1123</v>
      </c>
      <c r="E736" t="s">
        <v>384</v>
      </c>
      <c r="F736" t="s">
        <v>915</v>
      </c>
      <c r="G736" t="s">
        <v>1122</v>
      </c>
    </row>
    <row r="737" spans="1:7" x14ac:dyDescent="0.3">
      <c r="A737" t="s">
        <v>1143</v>
      </c>
      <c r="B737" t="s">
        <v>89</v>
      </c>
      <c r="C737" t="s">
        <v>90</v>
      </c>
      <c r="D737" t="s">
        <v>1120</v>
      </c>
      <c r="E737" t="s">
        <v>461</v>
      </c>
      <c r="F737" t="s">
        <v>916</v>
      </c>
      <c r="G737" t="s">
        <v>1122</v>
      </c>
    </row>
    <row r="738" spans="1:7" x14ac:dyDescent="0.3">
      <c r="A738" t="s">
        <v>1518</v>
      </c>
      <c r="B738" t="s">
        <v>136</v>
      </c>
      <c r="C738" t="s">
        <v>80</v>
      </c>
      <c r="D738" t="s">
        <v>1118</v>
      </c>
      <c r="E738" t="s">
        <v>673</v>
      </c>
      <c r="F738" t="s">
        <v>917</v>
      </c>
      <c r="G738" t="s">
        <v>66</v>
      </c>
    </row>
    <row r="739" spans="1:7" x14ac:dyDescent="0.3">
      <c r="A739" t="s">
        <v>1574</v>
      </c>
      <c r="B739" t="s">
        <v>108</v>
      </c>
      <c r="C739" t="s">
        <v>169</v>
      </c>
      <c r="D739" t="s">
        <v>1121</v>
      </c>
      <c r="E739" t="s">
        <v>798</v>
      </c>
      <c r="F739" t="s">
        <v>180</v>
      </c>
      <c r="G739" t="s">
        <v>1122</v>
      </c>
    </row>
    <row r="740" spans="1:7" x14ac:dyDescent="0.3">
      <c r="A740" t="s">
        <v>1407</v>
      </c>
      <c r="B740" t="s">
        <v>41</v>
      </c>
      <c r="C740" t="s">
        <v>46</v>
      </c>
      <c r="D740" t="s">
        <v>1120</v>
      </c>
      <c r="E740" t="s">
        <v>918</v>
      </c>
      <c r="F740" t="s">
        <v>1207</v>
      </c>
      <c r="G740" t="s">
        <v>1119</v>
      </c>
    </row>
    <row r="741" spans="1:7" x14ac:dyDescent="0.3">
      <c r="A741" t="s">
        <v>1402</v>
      </c>
      <c r="B741" t="s">
        <v>41</v>
      </c>
      <c r="C741" t="s">
        <v>46</v>
      </c>
      <c r="D741" t="s">
        <v>1120</v>
      </c>
      <c r="E741" t="s">
        <v>499</v>
      </c>
      <c r="F741" t="s">
        <v>531</v>
      </c>
      <c r="G741" t="s">
        <v>1122</v>
      </c>
    </row>
    <row r="742" spans="1:7" x14ac:dyDescent="0.3">
      <c r="A742" t="s">
        <v>1589</v>
      </c>
      <c r="B742" t="s">
        <v>76</v>
      </c>
      <c r="C742" t="s">
        <v>77</v>
      </c>
      <c r="D742" t="s">
        <v>1118</v>
      </c>
      <c r="E742" t="s">
        <v>640</v>
      </c>
      <c r="F742" t="s">
        <v>749</v>
      </c>
      <c r="G742" t="s">
        <v>1119</v>
      </c>
    </row>
    <row r="743" spans="1:7" x14ac:dyDescent="0.3">
      <c r="A743" t="s">
        <v>1621</v>
      </c>
      <c r="B743" t="s">
        <v>49</v>
      </c>
      <c r="C743" t="s">
        <v>52</v>
      </c>
      <c r="D743" t="s">
        <v>1118</v>
      </c>
      <c r="E743" t="s">
        <v>765</v>
      </c>
      <c r="F743" t="s">
        <v>919</v>
      </c>
      <c r="G743" t="s">
        <v>1120</v>
      </c>
    </row>
    <row r="744" spans="1:7" x14ac:dyDescent="0.3">
      <c r="A744" t="s">
        <v>1622</v>
      </c>
      <c r="B744" t="s">
        <v>108</v>
      </c>
      <c r="C744" t="s">
        <v>208</v>
      </c>
      <c r="D744" t="s">
        <v>700</v>
      </c>
      <c r="E744" t="s">
        <v>693</v>
      </c>
      <c r="F744" t="s">
        <v>920</v>
      </c>
      <c r="G744" t="s">
        <v>1122</v>
      </c>
    </row>
    <row r="745" spans="1:7" x14ac:dyDescent="0.3">
      <c r="A745" t="s">
        <v>1441</v>
      </c>
      <c r="B745" t="s">
        <v>60</v>
      </c>
      <c r="C745" t="s">
        <v>64</v>
      </c>
      <c r="D745" t="s">
        <v>1120</v>
      </c>
      <c r="E745" t="s">
        <v>66</v>
      </c>
      <c r="F745" t="s">
        <v>1274</v>
      </c>
      <c r="G745" t="s">
        <v>1121</v>
      </c>
    </row>
    <row r="746" spans="1:7" x14ac:dyDescent="0.3">
      <c r="A746" t="s">
        <v>1355</v>
      </c>
      <c r="B746" t="s">
        <v>76</v>
      </c>
      <c r="C746" t="s">
        <v>84</v>
      </c>
      <c r="D746" t="s">
        <v>1118</v>
      </c>
      <c r="E746" t="s">
        <v>179</v>
      </c>
      <c r="F746" t="s">
        <v>783</v>
      </c>
      <c r="G746" t="s">
        <v>1119</v>
      </c>
    </row>
    <row r="747" spans="1:7" x14ac:dyDescent="0.3">
      <c r="A747" t="s">
        <v>1467</v>
      </c>
      <c r="B747" t="s">
        <v>27</v>
      </c>
      <c r="C747" t="s">
        <v>28</v>
      </c>
      <c r="D747" t="s">
        <v>1123</v>
      </c>
      <c r="E747" t="s">
        <v>222</v>
      </c>
      <c r="F747" t="s">
        <v>921</v>
      </c>
      <c r="G747" t="s">
        <v>1122</v>
      </c>
    </row>
    <row r="748" spans="1:7" x14ac:dyDescent="0.3">
      <c r="A748" t="s">
        <v>1623</v>
      </c>
      <c r="B748" t="s">
        <v>113</v>
      </c>
      <c r="C748" t="s">
        <v>38</v>
      </c>
      <c r="D748" t="s">
        <v>1123</v>
      </c>
      <c r="E748" t="s">
        <v>222</v>
      </c>
      <c r="F748" t="s">
        <v>500</v>
      </c>
      <c r="G748" t="s">
        <v>1118</v>
      </c>
    </row>
    <row r="749" spans="1:7" x14ac:dyDescent="0.3">
      <c r="A749" t="s">
        <v>1388</v>
      </c>
      <c r="B749" t="s">
        <v>523</v>
      </c>
      <c r="C749" t="s">
        <v>109</v>
      </c>
      <c r="D749" t="s">
        <v>1123</v>
      </c>
      <c r="E749" t="s">
        <v>922</v>
      </c>
      <c r="F749" t="s">
        <v>923</v>
      </c>
      <c r="G749" t="s">
        <v>1122</v>
      </c>
    </row>
    <row r="750" spans="1:7" x14ac:dyDescent="0.3">
      <c r="A750" t="s">
        <v>1316</v>
      </c>
      <c r="B750" t="s">
        <v>60</v>
      </c>
      <c r="C750" t="s">
        <v>69</v>
      </c>
      <c r="D750" t="s">
        <v>1123</v>
      </c>
      <c r="E750" t="s">
        <v>1206</v>
      </c>
      <c r="F750" t="s">
        <v>924</v>
      </c>
      <c r="G750" t="s">
        <v>1122</v>
      </c>
    </row>
    <row r="751" spans="1:7" x14ac:dyDescent="0.3">
      <c r="A751" t="s">
        <v>1412</v>
      </c>
      <c r="B751" t="s">
        <v>60</v>
      </c>
      <c r="C751" t="s">
        <v>69</v>
      </c>
      <c r="D751" t="s">
        <v>1121</v>
      </c>
      <c r="E751" t="s">
        <v>218</v>
      </c>
      <c r="F751" t="s">
        <v>925</v>
      </c>
      <c r="G751" t="s">
        <v>1119</v>
      </c>
    </row>
    <row r="752" spans="1:7" x14ac:dyDescent="0.3">
      <c r="A752" t="s">
        <v>1314</v>
      </c>
      <c r="B752" t="s">
        <v>93</v>
      </c>
      <c r="C752" t="s">
        <v>101</v>
      </c>
      <c r="D752" t="s">
        <v>700</v>
      </c>
      <c r="E752" t="s">
        <v>102</v>
      </c>
      <c r="F752" t="s">
        <v>103</v>
      </c>
      <c r="G752" t="s">
        <v>1118</v>
      </c>
    </row>
    <row r="753" spans="1:7" x14ac:dyDescent="0.3">
      <c r="A753" t="s">
        <v>1624</v>
      </c>
      <c r="B753" t="s">
        <v>89</v>
      </c>
      <c r="C753" t="s">
        <v>131</v>
      </c>
      <c r="D753" t="s">
        <v>1121</v>
      </c>
      <c r="E753" t="s">
        <v>730</v>
      </c>
      <c r="F753" t="s">
        <v>926</v>
      </c>
      <c r="G753" t="s">
        <v>1118</v>
      </c>
    </row>
    <row r="754" spans="1:7" x14ac:dyDescent="0.3">
      <c r="A754" t="s">
        <v>1625</v>
      </c>
      <c r="B754" t="s">
        <v>93</v>
      </c>
      <c r="C754" t="s">
        <v>101</v>
      </c>
      <c r="D754" t="s">
        <v>1118</v>
      </c>
      <c r="E754" t="s">
        <v>927</v>
      </c>
      <c r="F754" t="s">
        <v>268</v>
      </c>
      <c r="G754" t="s">
        <v>1118</v>
      </c>
    </row>
    <row r="755" spans="1:7" x14ac:dyDescent="0.3">
      <c r="A755" t="s">
        <v>1468</v>
      </c>
      <c r="B755" t="s">
        <v>27</v>
      </c>
      <c r="C755" t="s">
        <v>28</v>
      </c>
      <c r="D755" t="s">
        <v>1123</v>
      </c>
      <c r="E755" t="s">
        <v>768</v>
      </c>
      <c r="F755" t="s">
        <v>928</v>
      </c>
      <c r="G755" t="s">
        <v>1121</v>
      </c>
    </row>
    <row r="756" spans="1:7" x14ac:dyDescent="0.3">
      <c r="A756" t="s">
        <v>1536</v>
      </c>
      <c r="B756" t="s">
        <v>89</v>
      </c>
      <c r="C756" t="s">
        <v>90</v>
      </c>
      <c r="D756" t="s">
        <v>700</v>
      </c>
      <c r="E756" t="s">
        <v>929</v>
      </c>
      <c r="F756" t="s">
        <v>930</v>
      </c>
      <c r="G756" t="s">
        <v>1118</v>
      </c>
    </row>
    <row r="757" spans="1:7" x14ac:dyDescent="0.3">
      <c r="A757" t="s">
        <v>1607</v>
      </c>
      <c r="B757" t="s">
        <v>27</v>
      </c>
      <c r="C757" t="s">
        <v>28</v>
      </c>
      <c r="D757" t="s">
        <v>700</v>
      </c>
      <c r="E757" t="s">
        <v>931</v>
      </c>
      <c r="F757" t="s">
        <v>105</v>
      </c>
      <c r="G757" t="s">
        <v>1122</v>
      </c>
    </row>
    <row r="758" spans="1:7" x14ac:dyDescent="0.3">
      <c r="A758" t="s">
        <v>1593</v>
      </c>
      <c r="B758" t="s">
        <v>60</v>
      </c>
      <c r="C758" t="s">
        <v>69</v>
      </c>
      <c r="D758" t="s">
        <v>1118</v>
      </c>
      <c r="E758" t="s">
        <v>932</v>
      </c>
      <c r="F758" t="s">
        <v>933</v>
      </c>
      <c r="G758" t="s">
        <v>1119</v>
      </c>
    </row>
    <row r="759" spans="1:7" x14ac:dyDescent="0.3">
      <c r="A759" t="s">
        <v>1560</v>
      </c>
      <c r="B759" t="s">
        <v>41</v>
      </c>
      <c r="C759" t="s">
        <v>46</v>
      </c>
      <c r="D759" t="s">
        <v>1120</v>
      </c>
      <c r="E759" t="s">
        <v>763</v>
      </c>
      <c r="F759" t="s">
        <v>934</v>
      </c>
      <c r="G759" t="s">
        <v>1119</v>
      </c>
    </row>
    <row r="760" spans="1:7" x14ac:dyDescent="0.3">
      <c r="A760" t="s">
        <v>1375</v>
      </c>
      <c r="B760" t="s">
        <v>41</v>
      </c>
      <c r="C760" t="s">
        <v>42</v>
      </c>
      <c r="D760" t="s">
        <v>1118</v>
      </c>
      <c r="E760" t="s">
        <v>935</v>
      </c>
      <c r="F760" t="s">
        <v>936</v>
      </c>
      <c r="G760" t="s">
        <v>1119</v>
      </c>
    </row>
    <row r="761" spans="1:7" x14ac:dyDescent="0.3">
      <c r="A761" t="s">
        <v>1336</v>
      </c>
      <c r="B761" t="s">
        <v>89</v>
      </c>
      <c r="C761" t="s">
        <v>90</v>
      </c>
      <c r="D761" t="s">
        <v>1123</v>
      </c>
      <c r="E761" t="s">
        <v>529</v>
      </c>
      <c r="F761" t="s">
        <v>1275</v>
      </c>
      <c r="G761" t="s">
        <v>1122</v>
      </c>
    </row>
    <row r="762" spans="1:7" x14ac:dyDescent="0.3">
      <c r="A762" t="s">
        <v>1602</v>
      </c>
      <c r="B762" t="s">
        <v>76</v>
      </c>
      <c r="C762" t="s">
        <v>77</v>
      </c>
      <c r="D762" t="s">
        <v>1118</v>
      </c>
      <c r="E762" t="s">
        <v>937</v>
      </c>
      <c r="F762" t="s">
        <v>938</v>
      </c>
      <c r="G762" t="s">
        <v>1122</v>
      </c>
    </row>
    <row r="763" spans="1:7" x14ac:dyDescent="0.3">
      <c r="A763" t="s">
        <v>1359</v>
      </c>
      <c r="B763" t="s">
        <v>108</v>
      </c>
      <c r="C763" t="s">
        <v>208</v>
      </c>
      <c r="D763" t="s">
        <v>1118</v>
      </c>
      <c r="E763" t="s">
        <v>913</v>
      </c>
      <c r="F763" t="s">
        <v>939</v>
      </c>
      <c r="G763" t="s">
        <v>1118</v>
      </c>
    </row>
    <row r="764" spans="1:7" x14ac:dyDescent="0.3">
      <c r="A764" t="s">
        <v>1430</v>
      </c>
      <c r="B764" t="s">
        <v>108</v>
      </c>
      <c r="C764" t="s">
        <v>169</v>
      </c>
      <c r="D764" t="s">
        <v>1123</v>
      </c>
      <c r="E764" t="s">
        <v>525</v>
      </c>
      <c r="F764" t="s">
        <v>526</v>
      </c>
      <c r="G764" t="s">
        <v>1122</v>
      </c>
    </row>
    <row r="765" spans="1:7" x14ac:dyDescent="0.3">
      <c r="A765" t="s">
        <v>1382</v>
      </c>
      <c r="B765" t="s">
        <v>76</v>
      </c>
      <c r="C765" t="s">
        <v>80</v>
      </c>
      <c r="D765" t="s">
        <v>1121</v>
      </c>
      <c r="E765" t="s">
        <v>54</v>
      </c>
      <c r="F765" t="s">
        <v>239</v>
      </c>
      <c r="G765" t="s">
        <v>1122</v>
      </c>
    </row>
    <row r="766" spans="1:7" x14ac:dyDescent="0.3">
      <c r="A766" t="s">
        <v>1384</v>
      </c>
      <c r="B766" t="s">
        <v>93</v>
      </c>
      <c r="C766" t="s">
        <v>101</v>
      </c>
      <c r="D766" t="s">
        <v>1120</v>
      </c>
      <c r="E766" t="s">
        <v>39</v>
      </c>
      <c r="F766" t="s">
        <v>940</v>
      </c>
      <c r="G766" t="s">
        <v>1118</v>
      </c>
    </row>
    <row r="767" spans="1:7" x14ac:dyDescent="0.3">
      <c r="A767" t="s">
        <v>1618</v>
      </c>
      <c r="B767" t="s">
        <v>93</v>
      </c>
      <c r="C767" t="s">
        <v>57</v>
      </c>
      <c r="D767" t="s">
        <v>1118</v>
      </c>
      <c r="E767" t="s">
        <v>941</v>
      </c>
      <c r="F767" t="s">
        <v>942</v>
      </c>
      <c r="G767" t="s">
        <v>1122</v>
      </c>
    </row>
    <row r="768" spans="1:7" x14ac:dyDescent="0.3">
      <c r="A768" t="s">
        <v>1497</v>
      </c>
      <c r="B768" t="s">
        <v>60</v>
      </c>
      <c r="C768" t="s">
        <v>61</v>
      </c>
      <c r="D768" t="s">
        <v>1123</v>
      </c>
      <c r="E768" t="s">
        <v>114</v>
      </c>
      <c r="F768" t="s">
        <v>943</v>
      </c>
      <c r="G768" t="s">
        <v>1122</v>
      </c>
    </row>
    <row r="769" spans="1:7" x14ac:dyDescent="0.3">
      <c r="A769" t="s">
        <v>1339</v>
      </c>
      <c r="B769" t="s">
        <v>89</v>
      </c>
      <c r="C769" t="s">
        <v>90</v>
      </c>
      <c r="D769" t="s">
        <v>1121</v>
      </c>
      <c r="E769" t="s">
        <v>291</v>
      </c>
      <c r="F769" t="s">
        <v>656</v>
      </c>
      <c r="G769" t="s">
        <v>1119</v>
      </c>
    </row>
    <row r="770" spans="1:7" x14ac:dyDescent="0.3">
      <c r="A770" t="s">
        <v>1505</v>
      </c>
      <c r="B770" t="s">
        <v>27</v>
      </c>
      <c r="C770" t="s">
        <v>28</v>
      </c>
      <c r="D770" t="s">
        <v>1123</v>
      </c>
      <c r="E770" t="s">
        <v>944</v>
      </c>
      <c r="F770" t="s">
        <v>831</v>
      </c>
      <c r="G770" t="s">
        <v>1119</v>
      </c>
    </row>
    <row r="771" spans="1:7" x14ac:dyDescent="0.3">
      <c r="A771" t="s">
        <v>1310</v>
      </c>
      <c r="B771" t="s">
        <v>27</v>
      </c>
      <c r="C771" t="s">
        <v>38</v>
      </c>
      <c r="D771" t="s">
        <v>700</v>
      </c>
      <c r="E771" t="s">
        <v>665</v>
      </c>
      <c r="F771" t="s">
        <v>945</v>
      </c>
      <c r="G771" t="s">
        <v>1119</v>
      </c>
    </row>
    <row r="772" spans="1:7" x14ac:dyDescent="0.3">
      <c r="A772" t="s">
        <v>1396</v>
      </c>
      <c r="B772" t="s">
        <v>93</v>
      </c>
      <c r="C772" t="s">
        <v>101</v>
      </c>
      <c r="D772" t="s">
        <v>1118</v>
      </c>
      <c r="E772" t="s">
        <v>946</v>
      </c>
      <c r="F772" t="s">
        <v>947</v>
      </c>
      <c r="G772" t="s">
        <v>1118</v>
      </c>
    </row>
    <row r="773" spans="1:7" x14ac:dyDescent="0.3">
      <c r="A773" t="s">
        <v>1394</v>
      </c>
      <c r="B773" t="s">
        <v>89</v>
      </c>
      <c r="C773" t="s">
        <v>90</v>
      </c>
      <c r="D773" t="s">
        <v>1121</v>
      </c>
      <c r="E773" t="s">
        <v>332</v>
      </c>
      <c r="F773" t="s">
        <v>948</v>
      </c>
      <c r="G773" t="s">
        <v>1122</v>
      </c>
    </row>
    <row r="774" spans="1:7" x14ac:dyDescent="0.3">
      <c r="A774" t="s">
        <v>1625</v>
      </c>
      <c r="B774" t="s">
        <v>60</v>
      </c>
      <c r="C774" t="s">
        <v>64</v>
      </c>
      <c r="D774" t="s">
        <v>1121</v>
      </c>
      <c r="E774" t="s">
        <v>1220</v>
      </c>
      <c r="F774" t="s">
        <v>949</v>
      </c>
      <c r="G774" t="s">
        <v>1120</v>
      </c>
    </row>
    <row r="775" spans="1:7" x14ac:dyDescent="0.3">
      <c r="A775" t="s">
        <v>1538</v>
      </c>
      <c r="B775" t="s">
        <v>228</v>
      </c>
      <c r="C775" t="s">
        <v>69</v>
      </c>
      <c r="D775" t="s">
        <v>1120</v>
      </c>
      <c r="E775" t="s">
        <v>141</v>
      </c>
      <c r="F775" t="s">
        <v>522</v>
      </c>
      <c r="G775" t="s">
        <v>1120</v>
      </c>
    </row>
    <row r="776" spans="1:7" x14ac:dyDescent="0.3">
      <c r="A776" t="s">
        <v>1594</v>
      </c>
      <c r="B776" t="s">
        <v>89</v>
      </c>
      <c r="C776" t="s">
        <v>90</v>
      </c>
      <c r="D776" t="s">
        <v>700</v>
      </c>
      <c r="E776" t="s">
        <v>1206</v>
      </c>
      <c r="F776" t="s">
        <v>950</v>
      </c>
      <c r="G776" t="s">
        <v>1118</v>
      </c>
    </row>
    <row r="777" spans="1:7" x14ac:dyDescent="0.3">
      <c r="A777" t="s">
        <v>1445</v>
      </c>
      <c r="B777" t="s">
        <v>108</v>
      </c>
      <c r="C777" t="s">
        <v>109</v>
      </c>
      <c r="D777" t="s">
        <v>700</v>
      </c>
      <c r="E777" t="s">
        <v>176</v>
      </c>
      <c r="F777" t="s">
        <v>951</v>
      </c>
      <c r="G777" t="s">
        <v>1119</v>
      </c>
    </row>
    <row r="778" spans="1:7" x14ac:dyDescent="0.3">
      <c r="A778" t="s">
        <v>1626</v>
      </c>
      <c r="B778" t="s">
        <v>76</v>
      </c>
      <c r="C778" t="s">
        <v>77</v>
      </c>
      <c r="D778" t="s">
        <v>700</v>
      </c>
      <c r="E778" t="s">
        <v>772</v>
      </c>
      <c r="F778" t="s">
        <v>952</v>
      </c>
      <c r="G778" t="s">
        <v>1119</v>
      </c>
    </row>
    <row r="779" spans="1:7" x14ac:dyDescent="0.3">
      <c r="A779" t="s">
        <v>1144</v>
      </c>
      <c r="B779" t="s">
        <v>108</v>
      </c>
      <c r="C779" t="s">
        <v>169</v>
      </c>
      <c r="D779" t="s">
        <v>1118</v>
      </c>
      <c r="E779" t="s">
        <v>256</v>
      </c>
      <c r="F779" t="s">
        <v>1276</v>
      </c>
      <c r="G779" t="s">
        <v>1122</v>
      </c>
    </row>
    <row r="780" spans="1:7" x14ac:dyDescent="0.3">
      <c r="A780" t="s">
        <v>1494</v>
      </c>
      <c r="B780" t="s">
        <v>49</v>
      </c>
      <c r="C780" t="s">
        <v>50</v>
      </c>
      <c r="D780" t="s">
        <v>1121</v>
      </c>
      <c r="E780" t="s">
        <v>953</v>
      </c>
      <c r="F780" t="s">
        <v>789</v>
      </c>
      <c r="G780" t="s">
        <v>1118</v>
      </c>
    </row>
    <row r="781" spans="1:7" x14ac:dyDescent="0.3">
      <c r="A781" t="s">
        <v>1361</v>
      </c>
      <c r="B781" t="s">
        <v>93</v>
      </c>
      <c r="C781" t="s">
        <v>57</v>
      </c>
      <c r="D781" t="s">
        <v>700</v>
      </c>
      <c r="E781" t="s">
        <v>212</v>
      </c>
      <c r="F781" t="s">
        <v>954</v>
      </c>
      <c r="G781" t="s">
        <v>1122</v>
      </c>
    </row>
    <row r="782" spans="1:7" x14ac:dyDescent="0.3">
      <c r="A782" t="s">
        <v>1627</v>
      </c>
      <c r="B782" t="s">
        <v>93</v>
      </c>
      <c r="C782" t="s">
        <v>101</v>
      </c>
      <c r="D782" t="s">
        <v>1123</v>
      </c>
      <c r="E782" t="s">
        <v>664</v>
      </c>
      <c r="F782" t="s">
        <v>955</v>
      </c>
      <c r="G782" t="s">
        <v>1122</v>
      </c>
    </row>
    <row r="783" spans="1:7" x14ac:dyDescent="0.3">
      <c r="A783" t="s">
        <v>1373</v>
      </c>
      <c r="B783" t="s">
        <v>60</v>
      </c>
      <c r="C783" t="s">
        <v>69</v>
      </c>
      <c r="D783" t="s">
        <v>1123</v>
      </c>
      <c r="E783" t="s">
        <v>279</v>
      </c>
      <c r="F783" t="s">
        <v>956</v>
      </c>
      <c r="G783" t="s">
        <v>1119</v>
      </c>
    </row>
    <row r="784" spans="1:7" x14ac:dyDescent="0.3">
      <c r="A784" t="s">
        <v>1319</v>
      </c>
      <c r="B784" t="s">
        <v>621</v>
      </c>
      <c r="C784" t="s">
        <v>101</v>
      </c>
      <c r="D784" t="s">
        <v>700</v>
      </c>
      <c r="E784" t="s">
        <v>425</v>
      </c>
      <c r="F784" t="s">
        <v>957</v>
      </c>
      <c r="G784" t="s">
        <v>1118</v>
      </c>
    </row>
    <row r="785" spans="1:7" x14ac:dyDescent="0.3">
      <c r="A785" t="s">
        <v>1415</v>
      </c>
      <c r="B785" t="s">
        <v>60</v>
      </c>
      <c r="C785" t="s">
        <v>69</v>
      </c>
      <c r="D785" t="s">
        <v>1118</v>
      </c>
      <c r="E785" t="s">
        <v>958</v>
      </c>
      <c r="F785" t="s">
        <v>40</v>
      </c>
      <c r="G785" t="s">
        <v>1121</v>
      </c>
    </row>
    <row r="786" spans="1:7" x14ac:dyDescent="0.3">
      <c r="A786" t="s">
        <v>1449</v>
      </c>
      <c r="B786" t="s">
        <v>60</v>
      </c>
      <c r="C786" t="s">
        <v>69</v>
      </c>
      <c r="D786" t="s">
        <v>1118</v>
      </c>
      <c r="E786" t="s">
        <v>106</v>
      </c>
      <c r="F786" t="s">
        <v>879</v>
      </c>
      <c r="G786" t="s">
        <v>1120</v>
      </c>
    </row>
    <row r="787" spans="1:7" x14ac:dyDescent="0.3">
      <c r="A787" t="s">
        <v>1459</v>
      </c>
      <c r="B787" t="s">
        <v>60</v>
      </c>
      <c r="C787" t="s">
        <v>61</v>
      </c>
      <c r="D787" t="s">
        <v>1123</v>
      </c>
      <c r="E787" t="s">
        <v>546</v>
      </c>
      <c r="F787" t="s">
        <v>959</v>
      </c>
      <c r="G787" t="s">
        <v>1121</v>
      </c>
    </row>
    <row r="788" spans="1:7" x14ac:dyDescent="0.3">
      <c r="A788" t="s">
        <v>1628</v>
      </c>
      <c r="B788" t="s">
        <v>372</v>
      </c>
      <c r="C788" t="s">
        <v>131</v>
      </c>
      <c r="D788" t="s">
        <v>1123</v>
      </c>
      <c r="E788" t="s">
        <v>35</v>
      </c>
      <c r="F788" t="s">
        <v>960</v>
      </c>
      <c r="G788" t="s">
        <v>1118</v>
      </c>
    </row>
    <row r="789" spans="1:7" x14ac:dyDescent="0.3">
      <c r="A789" t="s">
        <v>1576</v>
      </c>
      <c r="B789" t="s">
        <v>60</v>
      </c>
      <c r="C789" t="s">
        <v>61</v>
      </c>
      <c r="D789" t="s">
        <v>1121</v>
      </c>
      <c r="E789" t="s">
        <v>937</v>
      </c>
      <c r="F789" t="s">
        <v>961</v>
      </c>
      <c r="G789" t="s">
        <v>1121</v>
      </c>
    </row>
    <row r="790" spans="1:7" x14ac:dyDescent="0.3">
      <c r="A790" t="s">
        <v>1355</v>
      </c>
      <c r="B790" t="s">
        <v>60</v>
      </c>
      <c r="C790" t="s">
        <v>61</v>
      </c>
      <c r="D790" t="s">
        <v>1120</v>
      </c>
      <c r="E790" t="s">
        <v>1220</v>
      </c>
      <c r="F790" t="s">
        <v>1173</v>
      </c>
      <c r="G790" t="s">
        <v>1119</v>
      </c>
    </row>
    <row r="791" spans="1:7" x14ac:dyDescent="0.3">
      <c r="A791" t="s">
        <v>1629</v>
      </c>
      <c r="B791" t="s">
        <v>60</v>
      </c>
      <c r="C791" t="s">
        <v>64</v>
      </c>
      <c r="D791" t="s">
        <v>1120</v>
      </c>
      <c r="E791" t="s">
        <v>328</v>
      </c>
      <c r="F791" t="s">
        <v>962</v>
      </c>
      <c r="G791" t="s">
        <v>1118</v>
      </c>
    </row>
    <row r="792" spans="1:7" x14ac:dyDescent="0.3">
      <c r="A792" t="s">
        <v>1500</v>
      </c>
      <c r="B792" t="s">
        <v>60</v>
      </c>
      <c r="C792" t="s">
        <v>64</v>
      </c>
      <c r="D792" t="s">
        <v>1123</v>
      </c>
      <c r="E792" t="s">
        <v>378</v>
      </c>
      <c r="F792" t="s">
        <v>963</v>
      </c>
      <c r="G792" t="s">
        <v>1123</v>
      </c>
    </row>
    <row r="793" spans="1:7" x14ac:dyDescent="0.3">
      <c r="A793" t="s">
        <v>1461</v>
      </c>
      <c r="B793" t="s">
        <v>76</v>
      </c>
      <c r="C793" t="s">
        <v>84</v>
      </c>
      <c r="D793" t="s">
        <v>1121</v>
      </c>
      <c r="E793" t="s">
        <v>964</v>
      </c>
      <c r="F793" t="s">
        <v>965</v>
      </c>
      <c r="G793" t="s">
        <v>1122</v>
      </c>
    </row>
    <row r="794" spans="1:7" x14ac:dyDescent="0.3">
      <c r="A794" t="s">
        <v>1479</v>
      </c>
      <c r="B794" t="s">
        <v>76</v>
      </c>
      <c r="C794" t="s">
        <v>77</v>
      </c>
      <c r="D794" t="s">
        <v>700</v>
      </c>
      <c r="E794" t="s">
        <v>163</v>
      </c>
      <c r="F794" t="s">
        <v>66</v>
      </c>
      <c r="G794" t="s">
        <v>1122</v>
      </c>
    </row>
    <row r="795" spans="1:7" x14ac:dyDescent="0.3">
      <c r="A795" t="s">
        <v>1353</v>
      </c>
      <c r="B795" t="s">
        <v>108</v>
      </c>
      <c r="C795" t="s">
        <v>109</v>
      </c>
      <c r="D795" t="s">
        <v>1123</v>
      </c>
      <c r="E795" t="s">
        <v>393</v>
      </c>
      <c r="F795" t="s">
        <v>966</v>
      </c>
      <c r="G795" t="s">
        <v>1121</v>
      </c>
    </row>
    <row r="796" spans="1:7" x14ac:dyDescent="0.3">
      <c r="A796" t="s">
        <v>1464</v>
      </c>
      <c r="B796" t="s">
        <v>41</v>
      </c>
      <c r="C796" t="s">
        <v>73</v>
      </c>
      <c r="D796" t="s">
        <v>1120</v>
      </c>
      <c r="E796" t="s">
        <v>967</v>
      </c>
      <c r="F796" t="s">
        <v>968</v>
      </c>
      <c r="G796" t="s">
        <v>1118</v>
      </c>
    </row>
    <row r="797" spans="1:7" x14ac:dyDescent="0.3">
      <c r="A797" t="s">
        <v>1326</v>
      </c>
      <c r="B797" t="s">
        <v>108</v>
      </c>
      <c r="C797" t="s">
        <v>109</v>
      </c>
      <c r="D797" t="s">
        <v>1121</v>
      </c>
      <c r="E797" t="s">
        <v>165</v>
      </c>
      <c r="F797" t="s">
        <v>731</v>
      </c>
      <c r="G797" t="s">
        <v>1122</v>
      </c>
    </row>
    <row r="798" spans="1:7" x14ac:dyDescent="0.3">
      <c r="A798" t="s">
        <v>1438</v>
      </c>
      <c r="B798" t="s">
        <v>89</v>
      </c>
      <c r="C798" t="s">
        <v>131</v>
      </c>
      <c r="D798" t="s">
        <v>1120</v>
      </c>
      <c r="E798" t="s">
        <v>328</v>
      </c>
      <c r="F798" t="s">
        <v>324</v>
      </c>
      <c r="G798" t="s">
        <v>1122</v>
      </c>
    </row>
    <row r="799" spans="1:7" x14ac:dyDescent="0.3">
      <c r="A799" t="s">
        <v>1404</v>
      </c>
      <c r="B799" t="s">
        <v>76</v>
      </c>
      <c r="C799" t="s">
        <v>77</v>
      </c>
      <c r="D799" t="s">
        <v>1123</v>
      </c>
      <c r="E799" t="s">
        <v>969</v>
      </c>
      <c r="F799" t="s">
        <v>970</v>
      </c>
      <c r="G799" t="s">
        <v>1119</v>
      </c>
    </row>
    <row r="800" spans="1:7" x14ac:dyDescent="0.3">
      <c r="A800" t="s">
        <v>1555</v>
      </c>
      <c r="B800" t="s">
        <v>60</v>
      </c>
      <c r="C800" t="s">
        <v>64</v>
      </c>
      <c r="D800" t="s">
        <v>700</v>
      </c>
      <c r="E800" t="s">
        <v>235</v>
      </c>
      <c r="F800" t="s">
        <v>105</v>
      </c>
      <c r="G800" t="s">
        <v>1121</v>
      </c>
    </row>
    <row r="801" spans="1:7" x14ac:dyDescent="0.3">
      <c r="A801" t="s">
        <v>1619</v>
      </c>
      <c r="B801" t="s">
        <v>76</v>
      </c>
      <c r="C801" t="s">
        <v>77</v>
      </c>
      <c r="D801" t="s">
        <v>1123</v>
      </c>
      <c r="E801" t="s">
        <v>259</v>
      </c>
      <c r="F801" t="s">
        <v>971</v>
      </c>
      <c r="G801" t="s">
        <v>1122</v>
      </c>
    </row>
    <row r="802" spans="1:7" x14ac:dyDescent="0.3">
      <c r="A802" t="s">
        <v>1371</v>
      </c>
      <c r="B802" t="s">
        <v>108</v>
      </c>
      <c r="C802" t="s">
        <v>208</v>
      </c>
      <c r="D802" t="s">
        <v>1120</v>
      </c>
      <c r="E802" t="s">
        <v>1199</v>
      </c>
      <c r="F802" t="s">
        <v>972</v>
      </c>
      <c r="G802" t="s">
        <v>1119</v>
      </c>
    </row>
    <row r="803" spans="1:7" x14ac:dyDescent="0.3">
      <c r="A803" t="s">
        <v>1562</v>
      </c>
      <c r="B803" t="s">
        <v>168</v>
      </c>
      <c r="C803" t="s">
        <v>208</v>
      </c>
      <c r="D803" t="s">
        <v>1118</v>
      </c>
      <c r="E803" t="s">
        <v>1241</v>
      </c>
      <c r="F803" t="s">
        <v>737</v>
      </c>
      <c r="G803" t="s">
        <v>1119</v>
      </c>
    </row>
    <row r="804" spans="1:7" x14ac:dyDescent="0.3">
      <c r="A804" t="s">
        <v>1346</v>
      </c>
      <c r="B804" t="s">
        <v>89</v>
      </c>
      <c r="C804" t="s">
        <v>90</v>
      </c>
      <c r="D804" t="s">
        <v>1120</v>
      </c>
      <c r="E804" t="s">
        <v>161</v>
      </c>
      <c r="F804" t="s">
        <v>973</v>
      </c>
      <c r="G804" t="s">
        <v>1119</v>
      </c>
    </row>
    <row r="805" spans="1:7" x14ac:dyDescent="0.3">
      <c r="A805" t="s">
        <v>1300</v>
      </c>
      <c r="B805" t="s">
        <v>93</v>
      </c>
      <c r="C805" t="s">
        <v>57</v>
      </c>
      <c r="D805" t="s">
        <v>700</v>
      </c>
      <c r="E805" t="s">
        <v>94</v>
      </c>
      <c r="F805" t="s">
        <v>95</v>
      </c>
      <c r="G805" t="s">
        <v>1118</v>
      </c>
    </row>
    <row r="806" spans="1:7" x14ac:dyDescent="0.3">
      <c r="A806" t="s">
        <v>1365</v>
      </c>
      <c r="B806" t="s">
        <v>60</v>
      </c>
      <c r="C806" t="s">
        <v>64</v>
      </c>
      <c r="D806" t="s">
        <v>1120</v>
      </c>
      <c r="E806" t="s">
        <v>1186</v>
      </c>
      <c r="F806" t="s">
        <v>86</v>
      </c>
      <c r="G806" t="s">
        <v>1120</v>
      </c>
    </row>
    <row r="807" spans="1:7" x14ac:dyDescent="0.3">
      <c r="A807" t="s">
        <v>1400</v>
      </c>
      <c r="B807" t="s">
        <v>93</v>
      </c>
      <c r="C807" t="s">
        <v>101</v>
      </c>
      <c r="D807" t="s">
        <v>1121</v>
      </c>
      <c r="E807" t="s">
        <v>179</v>
      </c>
      <c r="F807" t="s">
        <v>217</v>
      </c>
      <c r="G807" t="s">
        <v>1121</v>
      </c>
    </row>
    <row r="808" spans="1:7" x14ac:dyDescent="0.3">
      <c r="A808" t="s">
        <v>1571</v>
      </c>
      <c r="B808" t="s">
        <v>850</v>
      </c>
      <c r="C808" t="s">
        <v>90</v>
      </c>
      <c r="D808" t="s">
        <v>700</v>
      </c>
      <c r="E808" t="s">
        <v>684</v>
      </c>
      <c r="F808" t="s">
        <v>352</v>
      </c>
      <c r="G808" t="s">
        <v>1118</v>
      </c>
    </row>
    <row r="809" spans="1:7" x14ac:dyDescent="0.3">
      <c r="A809" t="s">
        <v>1630</v>
      </c>
      <c r="B809" t="s">
        <v>27</v>
      </c>
      <c r="C809" t="s">
        <v>31</v>
      </c>
      <c r="D809" t="s">
        <v>1118</v>
      </c>
      <c r="E809" t="s">
        <v>70</v>
      </c>
      <c r="F809" t="s">
        <v>974</v>
      </c>
      <c r="G809" t="s">
        <v>1121</v>
      </c>
    </row>
    <row r="810" spans="1:7" x14ac:dyDescent="0.3">
      <c r="A810" t="s">
        <v>1400</v>
      </c>
      <c r="B810" t="s">
        <v>76</v>
      </c>
      <c r="C810" t="s">
        <v>80</v>
      </c>
      <c r="D810" t="s">
        <v>1118</v>
      </c>
      <c r="E810" t="s">
        <v>99</v>
      </c>
      <c r="F810" t="s">
        <v>879</v>
      </c>
      <c r="G810" t="s">
        <v>1122</v>
      </c>
    </row>
    <row r="811" spans="1:7" x14ac:dyDescent="0.3">
      <c r="A811" t="s">
        <v>1464</v>
      </c>
      <c r="B811" t="s">
        <v>89</v>
      </c>
      <c r="C811" t="s">
        <v>90</v>
      </c>
      <c r="D811" t="s">
        <v>1123</v>
      </c>
      <c r="E811" t="s">
        <v>281</v>
      </c>
      <c r="F811" t="s">
        <v>880</v>
      </c>
      <c r="G811" t="s">
        <v>1122</v>
      </c>
    </row>
    <row r="812" spans="1:7" x14ac:dyDescent="0.3">
      <c r="A812" t="s">
        <v>1341</v>
      </c>
      <c r="B812" t="s">
        <v>41</v>
      </c>
      <c r="C812" t="s">
        <v>42</v>
      </c>
      <c r="D812" t="s">
        <v>1123</v>
      </c>
      <c r="E812" t="s">
        <v>274</v>
      </c>
      <c r="F812" t="s">
        <v>975</v>
      </c>
      <c r="G812" t="s">
        <v>1119</v>
      </c>
    </row>
    <row r="813" spans="1:7" x14ac:dyDescent="0.3">
      <c r="A813" t="s">
        <v>1505</v>
      </c>
      <c r="B813" t="s">
        <v>60</v>
      </c>
      <c r="C813" t="s">
        <v>64</v>
      </c>
      <c r="D813" t="s">
        <v>1118</v>
      </c>
      <c r="E813" t="s">
        <v>58</v>
      </c>
      <c r="F813" t="s">
        <v>847</v>
      </c>
      <c r="G813" t="s">
        <v>1118</v>
      </c>
    </row>
    <row r="814" spans="1:7" x14ac:dyDescent="0.3">
      <c r="A814" t="s">
        <v>1577</v>
      </c>
      <c r="B814" t="s">
        <v>27</v>
      </c>
      <c r="C814" t="s">
        <v>34</v>
      </c>
      <c r="D814" t="s">
        <v>1123</v>
      </c>
      <c r="E814" t="s">
        <v>525</v>
      </c>
      <c r="F814" t="s">
        <v>976</v>
      </c>
      <c r="G814" t="s">
        <v>1122</v>
      </c>
    </row>
    <row r="815" spans="1:7" x14ac:dyDescent="0.3">
      <c r="A815" t="s">
        <v>1377</v>
      </c>
      <c r="B815" t="s">
        <v>89</v>
      </c>
      <c r="C815" t="s">
        <v>90</v>
      </c>
      <c r="D815" t="s">
        <v>1118</v>
      </c>
      <c r="E815" t="s">
        <v>444</v>
      </c>
      <c r="F815" t="s">
        <v>105</v>
      </c>
      <c r="G815" t="s">
        <v>1118</v>
      </c>
    </row>
    <row r="816" spans="1:7" x14ac:dyDescent="0.3">
      <c r="A816" t="s">
        <v>1358</v>
      </c>
      <c r="B816" t="s">
        <v>49</v>
      </c>
      <c r="C816" t="s">
        <v>50</v>
      </c>
      <c r="D816" t="s">
        <v>700</v>
      </c>
      <c r="E816" t="s">
        <v>391</v>
      </c>
      <c r="F816" t="s">
        <v>977</v>
      </c>
      <c r="G816" t="s">
        <v>1123</v>
      </c>
    </row>
    <row r="817" spans="1:7" x14ac:dyDescent="0.3">
      <c r="A817" t="s">
        <v>1631</v>
      </c>
      <c r="B817" t="s">
        <v>60</v>
      </c>
      <c r="C817" t="s">
        <v>64</v>
      </c>
      <c r="D817" t="s">
        <v>700</v>
      </c>
      <c r="E817" t="s">
        <v>895</v>
      </c>
      <c r="F817" t="s">
        <v>978</v>
      </c>
      <c r="G817" t="s">
        <v>1119</v>
      </c>
    </row>
    <row r="818" spans="1:7" x14ac:dyDescent="0.3">
      <c r="A818" t="s">
        <v>1461</v>
      </c>
      <c r="B818" t="s">
        <v>850</v>
      </c>
      <c r="C818" t="s">
        <v>131</v>
      </c>
      <c r="D818" t="s">
        <v>1123</v>
      </c>
      <c r="E818" t="s">
        <v>529</v>
      </c>
      <c r="F818" t="s">
        <v>979</v>
      </c>
      <c r="G818" t="s">
        <v>1122</v>
      </c>
    </row>
    <row r="819" spans="1:7" x14ac:dyDescent="0.3">
      <c r="A819" t="s">
        <v>1632</v>
      </c>
      <c r="B819" t="s">
        <v>60</v>
      </c>
      <c r="C819" t="s">
        <v>64</v>
      </c>
      <c r="D819" t="s">
        <v>700</v>
      </c>
      <c r="E819" t="s">
        <v>246</v>
      </c>
      <c r="F819" t="s">
        <v>980</v>
      </c>
      <c r="G819" t="s">
        <v>1122</v>
      </c>
    </row>
    <row r="820" spans="1:7" x14ac:dyDescent="0.3">
      <c r="A820" t="s">
        <v>1562</v>
      </c>
      <c r="B820" t="s">
        <v>76</v>
      </c>
      <c r="C820" t="s">
        <v>80</v>
      </c>
      <c r="D820" t="s">
        <v>1123</v>
      </c>
      <c r="E820" t="s">
        <v>981</v>
      </c>
      <c r="F820" t="s">
        <v>1277</v>
      </c>
      <c r="G820" t="s">
        <v>1119</v>
      </c>
    </row>
    <row r="821" spans="1:7" x14ac:dyDescent="0.3">
      <c r="A821" t="s">
        <v>1309</v>
      </c>
      <c r="B821" t="s">
        <v>49</v>
      </c>
      <c r="C821" t="s">
        <v>52</v>
      </c>
      <c r="D821" t="s">
        <v>700</v>
      </c>
      <c r="E821" t="s">
        <v>807</v>
      </c>
      <c r="F821" t="s">
        <v>982</v>
      </c>
      <c r="G821" t="s">
        <v>1123</v>
      </c>
    </row>
    <row r="822" spans="1:7" x14ac:dyDescent="0.3">
      <c r="A822" t="s">
        <v>1421</v>
      </c>
      <c r="B822" t="s">
        <v>60</v>
      </c>
      <c r="C822" t="s">
        <v>64</v>
      </c>
      <c r="D822" t="s">
        <v>1118</v>
      </c>
      <c r="E822" t="s">
        <v>622</v>
      </c>
      <c r="F822" t="s">
        <v>1229</v>
      </c>
      <c r="G822" t="s">
        <v>1120</v>
      </c>
    </row>
    <row r="823" spans="1:7" x14ac:dyDescent="0.3">
      <c r="A823" t="s">
        <v>1318</v>
      </c>
      <c r="B823" t="s">
        <v>228</v>
      </c>
      <c r="C823" t="s">
        <v>69</v>
      </c>
      <c r="D823" t="s">
        <v>1121</v>
      </c>
      <c r="E823" t="s">
        <v>983</v>
      </c>
      <c r="F823" t="s">
        <v>620</v>
      </c>
      <c r="G823" t="s">
        <v>1123</v>
      </c>
    </row>
    <row r="824" spans="1:7" x14ac:dyDescent="0.3">
      <c r="A824" t="s">
        <v>1452</v>
      </c>
      <c r="B824" t="s">
        <v>93</v>
      </c>
      <c r="C824" t="s">
        <v>101</v>
      </c>
      <c r="D824" t="s">
        <v>1121</v>
      </c>
      <c r="E824" t="s">
        <v>39</v>
      </c>
      <c r="F824" t="s">
        <v>219</v>
      </c>
      <c r="G824" t="s">
        <v>1118</v>
      </c>
    </row>
    <row r="825" spans="1:7" x14ac:dyDescent="0.3">
      <c r="A825" t="s">
        <v>1504</v>
      </c>
      <c r="B825" t="s">
        <v>76</v>
      </c>
      <c r="C825" t="s">
        <v>77</v>
      </c>
      <c r="D825" t="s">
        <v>1120</v>
      </c>
      <c r="E825" t="s">
        <v>984</v>
      </c>
      <c r="F825" t="s">
        <v>985</v>
      </c>
      <c r="G825" t="s">
        <v>1122</v>
      </c>
    </row>
    <row r="826" spans="1:7" x14ac:dyDescent="0.3">
      <c r="A826" t="s">
        <v>1521</v>
      </c>
      <c r="B826" t="s">
        <v>93</v>
      </c>
      <c r="C826" t="s">
        <v>57</v>
      </c>
      <c r="D826" t="s">
        <v>1121</v>
      </c>
      <c r="E826" t="s">
        <v>986</v>
      </c>
      <c r="F826" t="s">
        <v>987</v>
      </c>
      <c r="G826" t="s">
        <v>1123</v>
      </c>
    </row>
    <row r="827" spans="1:7" x14ac:dyDescent="0.3">
      <c r="A827" t="s">
        <v>1454</v>
      </c>
      <c r="B827" t="s">
        <v>108</v>
      </c>
      <c r="C827" t="s">
        <v>169</v>
      </c>
      <c r="D827" t="s">
        <v>1120</v>
      </c>
      <c r="E827" t="s">
        <v>988</v>
      </c>
      <c r="F827" t="s">
        <v>852</v>
      </c>
      <c r="G827" t="s">
        <v>1122</v>
      </c>
    </row>
    <row r="828" spans="1:7" x14ac:dyDescent="0.3">
      <c r="A828" t="s">
        <v>1633</v>
      </c>
      <c r="B828" t="s">
        <v>41</v>
      </c>
      <c r="C828" t="s">
        <v>66</v>
      </c>
      <c r="D828" t="s">
        <v>1123</v>
      </c>
      <c r="E828" t="s">
        <v>563</v>
      </c>
      <c r="F828" t="s">
        <v>1197</v>
      </c>
      <c r="G828" t="s">
        <v>1122</v>
      </c>
    </row>
    <row r="829" spans="1:7" x14ac:dyDescent="0.3">
      <c r="A829" t="s">
        <v>1394</v>
      </c>
      <c r="B829" t="s">
        <v>60</v>
      </c>
      <c r="C829" t="s">
        <v>64</v>
      </c>
      <c r="D829" t="s">
        <v>1123</v>
      </c>
      <c r="E829" t="s">
        <v>54</v>
      </c>
      <c r="F829" t="s">
        <v>1190</v>
      </c>
      <c r="G829" t="s">
        <v>1118</v>
      </c>
    </row>
    <row r="830" spans="1:7" x14ac:dyDescent="0.3">
      <c r="A830" t="s">
        <v>1309</v>
      </c>
      <c r="B830" t="s">
        <v>850</v>
      </c>
      <c r="C830" t="s">
        <v>131</v>
      </c>
      <c r="D830" t="s">
        <v>1123</v>
      </c>
      <c r="E830" t="s">
        <v>709</v>
      </c>
      <c r="F830" t="s">
        <v>989</v>
      </c>
      <c r="G830" t="s">
        <v>1122</v>
      </c>
    </row>
    <row r="831" spans="1:7" x14ac:dyDescent="0.3">
      <c r="A831" t="s">
        <v>1528</v>
      </c>
      <c r="B831" t="s">
        <v>27</v>
      </c>
      <c r="C831" t="s">
        <v>31</v>
      </c>
      <c r="D831" t="s">
        <v>1123</v>
      </c>
      <c r="E831" t="s">
        <v>421</v>
      </c>
      <c r="F831" t="s">
        <v>1185</v>
      </c>
      <c r="G831" t="s">
        <v>1118</v>
      </c>
    </row>
    <row r="832" spans="1:7" x14ac:dyDescent="0.3">
      <c r="A832" t="s">
        <v>1471</v>
      </c>
      <c r="B832" t="s">
        <v>108</v>
      </c>
      <c r="C832" t="s">
        <v>109</v>
      </c>
      <c r="D832" t="s">
        <v>1118</v>
      </c>
      <c r="E832" t="s">
        <v>342</v>
      </c>
      <c r="F832" t="s">
        <v>251</v>
      </c>
      <c r="G832" t="s">
        <v>1121</v>
      </c>
    </row>
    <row r="833" spans="1:7" x14ac:dyDescent="0.3">
      <c r="A833" t="s">
        <v>1347</v>
      </c>
      <c r="B833" t="s">
        <v>49</v>
      </c>
      <c r="C833" t="s">
        <v>52</v>
      </c>
      <c r="D833" t="s">
        <v>1118</v>
      </c>
      <c r="E833" t="s">
        <v>1177</v>
      </c>
      <c r="F833" t="s">
        <v>105</v>
      </c>
      <c r="G833" t="s">
        <v>1120</v>
      </c>
    </row>
    <row r="834" spans="1:7" x14ac:dyDescent="0.3">
      <c r="A834" t="s">
        <v>1395</v>
      </c>
      <c r="B834" t="s">
        <v>76</v>
      </c>
      <c r="C834" t="s">
        <v>84</v>
      </c>
      <c r="D834" t="s">
        <v>1118</v>
      </c>
      <c r="E834" t="s">
        <v>990</v>
      </c>
      <c r="F834" t="s">
        <v>991</v>
      </c>
      <c r="G834" t="s">
        <v>1122</v>
      </c>
    </row>
    <row r="835" spans="1:7" x14ac:dyDescent="0.3">
      <c r="A835" t="s">
        <v>1324</v>
      </c>
      <c r="B835" t="s">
        <v>49</v>
      </c>
      <c r="C835" t="s">
        <v>50</v>
      </c>
      <c r="D835" t="s">
        <v>1123</v>
      </c>
      <c r="E835" t="s">
        <v>29</v>
      </c>
      <c r="F835" t="s">
        <v>326</v>
      </c>
      <c r="G835" t="s">
        <v>1123</v>
      </c>
    </row>
    <row r="836" spans="1:7" x14ac:dyDescent="0.3">
      <c r="A836" t="s">
        <v>1376</v>
      </c>
      <c r="B836" t="s">
        <v>76</v>
      </c>
      <c r="C836" t="s">
        <v>77</v>
      </c>
      <c r="D836" t="s">
        <v>1123</v>
      </c>
      <c r="E836" t="s">
        <v>1278</v>
      </c>
      <c r="F836" t="s">
        <v>804</v>
      </c>
      <c r="G836" t="s">
        <v>1122</v>
      </c>
    </row>
    <row r="837" spans="1:7" x14ac:dyDescent="0.3">
      <c r="A837" t="s">
        <v>1560</v>
      </c>
      <c r="B837" t="s">
        <v>93</v>
      </c>
      <c r="C837" t="s">
        <v>66</v>
      </c>
      <c r="D837" t="s">
        <v>1120</v>
      </c>
      <c r="E837" t="s">
        <v>450</v>
      </c>
      <c r="F837" t="s">
        <v>386</v>
      </c>
      <c r="G837" t="s">
        <v>1118</v>
      </c>
    </row>
    <row r="838" spans="1:7" x14ac:dyDescent="0.3">
      <c r="A838" t="s">
        <v>1462</v>
      </c>
      <c r="B838" t="s">
        <v>621</v>
      </c>
      <c r="C838" t="s">
        <v>101</v>
      </c>
      <c r="D838" t="s">
        <v>1120</v>
      </c>
      <c r="E838" t="s">
        <v>316</v>
      </c>
      <c r="F838" t="s">
        <v>992</v>
      </c>
      <c r="G838" t="s">
        <v>1120</v>
      </c>
    </row>
    <row r="839" spans="1:7" x14ac:dyDescent="0.3">
      <c r="A839" t="s">
        <v>1598</v>
      </c>
      <c r="B839" t="s">
        <v>111</v>
      </c>
      <c r="C839" t="s">
        <v>61</v>
      </c>
      <c r="D839" t="s">
        <v>1118</v>
      </c>
      <c r="E839" t="s">
        <v>874</v>
      </c>
      <c r="F839" t="s">
        <v>815</v>
      </c>
      <c r="G839" t="s">
        <v>1118</v>
      </c>
    </row>
    <row r="840" spans="1:7" x14ac:dyDescent="0.3">
      <c r="A840" t="s">
        <v>1440</v>
      </c>
      <c r="B840" t="s">
        <v>850</v>
      </c>
      <c r="C840" t="s">
        <v>131</v>
      </c>
      <c r="D840" t="s">
        <v>1120</v>
      </c>
      <c r="E840" t="s">
        <v>114</v>
      </c>
      <c r="F840" t="s">
        <v>993</v>
      </c>
      <c r="G840" t="s">
        <v>1119</v>
      </c>
    </row>
    <row r="841" spans="1:7" x14ac:dyDescent="0.3">
      <c r="A841" t="s">
        <v>1535</v>
      </c>
      <c r="B841" t="s">
        <v>49</v>
      </c>
      <c r="C841" t="s">
        <v>50</v>
      </c>
      <c r="D841" t="s">
        <v>1120</v>
      </c>
      <c r="E841" t="s">
        <v>186</v>
      </c>
      <c r="F841" t="s">
        <v>849</v>
      </c>
      <c r="G841" t="s">
        <v>1122</v>
      </c>
    </row>
    <row r="842" spans="1:7" x14ac:dyDescent="0.3">
      <c r="A842" t="s">
        <v>1500</v>
      </c>
      <c r="B842" t="s">
        <v>49</v>
      </c>
      <c r="C842" t="s">
        <v>52</v>
      </c>
      <c r="D842" t="s">
        <v>1120</v>
      </c>
      <c r="E842" t="s">
        <v>102</v>
      </c>
      <c r="F842" t="s">
        <v>713</v>
      </c>
      <c r="G842" t="s">
        <v>1122</v>
      </c>
    </row>
    <row r="843" spans="1:7" x14ac:dyDescent="0.3">
      <c r="A843" t="s">
        <v>1424</v>
      </c>
      <c r="B843" t="s">
        <v>89</v>
      </c>
      <c r="C843" t="s">
        <v>131</v>
      </c>
      <c r="D843" t="s">
        <v>700</v>
      </c>
      <c r="E843" t="s">
        <v>598</v>
      </c>
      <c r="F843" t="s">
        <v>654</v>
      </c>
      <c r="G843" t="s">
        <v>1119</v>
      </c>
    </row>
    <row r="844" spans="1:7" x14ac:dyDescent="0.3">
      <c r="A844" t="s">
        <v>1382</v>
      </c>
      <c r="B844" t="s">
        <v>108</v>
      </c>
      <c r="C844" t="s">
        <v>208</v>
      </c>
      <c r="D844" t="s">
        <v>1118</v>
      </c>
      <c r="E844" t="s">
        <v>664</v>
      </c>
      <c r="F844" t="s">
        <v>994</v>
      </c>
      <c r="G844" t="s">
        <v>1118</v>
      </c>
    </row>
    <row r="845" spans="1:7" x14ac:dyDescent="0.3">
      <c r="A845" t="s">
        <v>1400</v>
      </c>
      <c r="B845" t="s">
        <v>76</v>
      </c>
      <c r="C845" t="s">
        <v>77</v>
      </c>
      <c r="D845" t="s">
        <v>1121</v>
      </c>
      <c r="E845" t="s">
        <v>1211</v>
      </c>
      <c r="F845" t="s">
        <v>443</v>
      </c>
      <c r="G845" t="s">
        <v>1122</v>
      </c>
    </row>
    <row r="846" spans="1:7" x14ac:dyDescent="0.3">
      <c r="A846" t="s">
        <v>1557</v>
      </c>
      <c r="B846" t="s">
        <v>76</v>
      </c>
      <c r="C846" t="s">
        <v>84</v>
      </c>
      <c r="D846" t="s">
        <v>1121</v>
      </c>
      <c r="E846" t="s">
        <v>712</v>
      </c>
      <c r="F846" t="s">
        <v>995</v>
      </c>
      <c r="G846" t="s">
        <v>1122</v>
      </c>
    </row>
    <row r="847" spans="1:7" x14ac:dyDescent="0.3">
      <c r="A847" t="s">
        <v>1615</v>
      </c>
      <c r="B847" t="s">
        <v>49</v>
      </c>
      <c r="C847" t="s">
        <v>50</v>
      </c>
      <c r="D847" t="s">
        <v>700</v>
      </c>
      <c r="E847" t="s">
        <v>87</v>
      </c>
      <c r="F847" t="s">
        <v>996</v>
      </c>
      <c r="G847" t="s">
        <v>1121</v>
      </c>
    </row>
    <row r="848" spans="1:7" x14ac:dyDescent="0.3">
      <c r="A848" t="s">
        <v>1485</v>
      </c>
      <c r="B848" t="s">
        <v>890</v>
      </c>
      <c r="C848" t="s">
        <v>73</v>
      </c>
      <c r="D848" t="s">
        <v>1123</v>
      </c>
      <c r="E848" t="s">
        <v>997</v>
      </c>
      <c r="F848" t="s">
        <v>923</v>
      </c>
      <c r="G848" t="s">
        <v>1121</v>
      </c>
    </row>
    <row r="849" spans="1:7" x14ac:dyDescent="0.3">
      <c r="A849" t="s">
        <v>1440</v>
      </c>
      <c r="B849" t="s">
        <v>60</v>
      </c>
      <c r="C849" t="s">
        <v>64</v>
      </c>
      <c r="D849" t="s">
        <v>1118</v>
      </c>
      <c r="E849" t="s">
        <v>250</v>
      </c>
      <c r="F849" t="s">
        <v>998</v>
      </c>
      <c r="G849" t="s">
        <v>1121</v>
      </c>
    </row>
    <row r="850" spans="1:7" x14ac:dyDescent="0.3">
      <c r="A850" t="s">
        <v>1514</v>
      </c>
      <c r="B850" t="s">
        <v>41</v>
      </c>
      <c r="C850" t="s">
        <v>42</v>
      </c>
      <c r="D850" t="s">
        <v>700</v>
      </c>
      <c r="E850" t="s">
        <v>198</v>
      </c>
      <c r="F850" t="s">
        <v>999</v>
      </c>
      <c r="G850" t="s">
        <v>1121</v>
      </c>
    </row>
    <row r="851" spans="1:7" x14ac:dyDescent="0.3">
      <c r="A851" t="s">
        <v>1557</v>
      </c>
      <c r="B851" t="s">
        <v>76</v>
      </c>
      <c r="C851" t="s">
        <v>84</v>
      </c>
      <c r="D851" t="s">
        <v>1121</v>
      </c>
      <c r="E851" t="s">
        <v>777</v>
      </c>
      <c r="F851" t="s">
        <v>1000</v>
      </c>
      <c r="G851" t="s">
        <v>1118</v>
      </c>
    </row>
    <row r="852" spans="1:7" x14ac:dyDescent="0.3">
      <c r="A852" t="s">
        <v>1634</v>
      </c>
      <c r="B852" t="s">
        <v>60</v>
      </c>
      <c r="C852" t="s">
        <v>64</v>
      </c>
      <c r="D852" t="s">
        <v>700</v>
      </c>
      <c r="E852" t="s">
        <v>691</v>
      </c>
      <c r="F852" t="s">
        <v>1001</v>
      </c>
      <c r="G852" t="s">
        <v>1122</v>
      </c>
    </row>
    <row r="853" spans="1:7" x14ac:dyDescent="0.3">
      <c r="A853" t="s">
        <v>1596</v>
      </c>
      <c r="B853" t="s">
        <v>41</v>
      </c>
      <c r="C853" t="s">
        <v>42</v>
      </c>
      <c r="D853" t="s">
        <v>1121</v>
      </c>
      <c r="E853" t="s">
        <v>1268</v>
      </c>
      <c r="F853" t="s">
        <v>877</v>
      </c>
      <c r="G853" t="s">
        <v>1119</v>
      </c>
    </row>
    <row r="854" spans="1:7" x14ac:dyDescent="0.3">
      <c r="A854" t="s">
        <v>1470</v>
      </c>
      <c r="B854" t="s">
        <v>89</v>
      </c>
      <c r="C854" t="s">
        <v>90</v>
      </c>
      <c r="D854" t="s">
        <v>1118</v>
      </c>
      <c r="E854" t="s">
        <v>927</v>
      </c>
      <c r="F854" t="s">
        <v>1002</v>
      </c>
      <c r="G854" t="s">
        <v>1119</v>
      </c>
    </row>
    <row r="855" spans="1:7" x14ac:dyDescent="0.3">
      <c r="A855" t="s">
        <v>1492</v>
      </c>
      <c r="B855" t="s">
        <v>27</v>
      </c>
      <c r="C855" t="s">
        <v>38</v>
      </c>
      <c r="D855" t="s">
        <v>1120</v>
      </c>
      <c r="E855" t="s">
        <v>35</v>
      </c>
      <c r="F855" t="s">
        <v>105</v>
      </c>
      <c r="G855" t="s">
        <v>1123</v>
      </c>
    </row>
    <row r="856" spans="1:7" x14ac:dyDescent="0.3">
      <c r="A856" t="s">
        <v>1557</v>
      </c>
      <c r="B856" t="s">
        <v>472</v>
      </c>
      <c r="C856" t="s">
        <v>28</v>
      </c>
      <c r="D856" t="s">
        <v>1121</v>
      </c>
      <c r="E856" t="s">
        <v>212</v>
      </c>
      <c r="F856" t="s">
        <v>1003</v>
      </c>
      <c r="G856" t="s">
        <v>1122</v>
      </c>
    </row>
    <row r="857" spans="1:7" x14ac:dyDescent="0.3">
      <c r="A857" t="s">
        <v>1322</v>
      </c>
      <c r="B857" t="s">
        <v>27</v>
      </c>
      <c r="C857" t="s">
        <v>28</v>
      </c>
      <c r="D857" t="s">
        <v>700</v>
      </c>
      <c r="E857" t="s">
        <v>1004</v>
      </c>
      <c r="F857" t="s">
        <v>649</v>
      </c>
      <c r="G857" t="s">
        <v>1119</v>
      </c>
    </row>
    <row r="858" spans="1:7" x14ac:dyDescent="0.3">
      <c r="A858" t="s">
        <v>1309</v>
      </c>
      <c r="B858" t="s">
        <v>76</v>
      </c>
      <c r="C858" t="s">
        <v>84</v>
      </c>
      <c r="D858" t="s">
        <v>1123</v>
      </c>
      <c r="E858" t="s">
        <v>389</v>
      </c>
      <c r="F858" t="s">
        <v>921</v>
      </c>
      <c r="G858" t="s">
        <v>1118</v>
      </c>
    </row>
    <row r="859" spans="1:7" x14ac:dyDescent="0.3">
      <c r="A859" t="s">
        <v>1458</v>
      </c>
      <c r="B859" t="s">
        <v>27</v>
      </c>
      <c r="C859" t="s">
        <v>31</v>
      </c>
      <c r="D859" t="s">
        <v>1120</v>
      </c>
      <c r="E859" t="s">
        <v>222</v>
      </c>
      <c r="F859" t="s">
        <v>849</v>
      </c>
      <c r="G859" t="s">
        <v>1122</v>
      </c>
    </row>
    <row r="860" spans="1:7" x14ac:dyDescent="0.3">
      <c r="A860" t="s">
        <v>1459</v>
      </c>
      <c r="B860" t="s">
        <v>76</v>
      </c>
      <c r="C860" t="s">
        <v>80</v>
      </c>
      <c r="D860" t="s">
        <v>1118</v>
      </c>
      <c r="E860" t="s">
        <v>608</v>
      </c>
      <c r="F860" t="s">
        <v>1195</v>
      </c>
      <c r="G860" t="s">
        <v>1118</v>
      </c>
    </row>
    <row r="861" spans="1:7" x14ac:dyDescent="0.3">
      <c r="A861" t="s">
        <v>1630</v>
      </c>
      <c r="B861" t="s">
        <v>27</v>
      </c>
      <c r="C861" t="s">
        <v>38</v>
      </c>
      <c r="D861" t="s">
        <v>1121</v>
      </c>
      <c r="E861" t="s">
        <v>537</v>
      </c>
      <c r="F861" t="s">
        <v>898</v>
      </c>
      <c r="G861" t="s">
        <v>1122</v>
      </c>
    </row>
    <row r="862" spans="1:7" x14ac:dyDescent="0.3">
      <c r="A862" t="s">
        <v>1603</v>
      </c>
      <c r="B862" t="s">
        <v>60</v>
      </c>
      <c r="C862" t="s">
        <v>64</v>
      </c>
      <c r="D862" t="s">
        <v>1118</v>
      </c>
      <c r="E862" t="s">
        <v>1005</v>
      </c>
      <c r="F862" t="s">
        <v>1006</v>
      </c>
      <c r="G862" t="s">
        <v>1121</v>
      </c>
    </row>
    <row r="863" spans="1:7" x14ac:dyDescent="0.3">
      <c r="A863" t="s">
        <v>1365</v>
      </c>
      <c r="B863" t="s">
        <v>41</v>
      </c>
      <c r="C863" t="s">
        <v>73</v>
      </c>
      <c r="D863" t="s">
        <v>1121</v>
      </c>
      <c r="E863" t="s">
        <v>104</v>
      </c>
      <c r="F863" t="s">
        <v>1007</v>
      </c>
      <c r="G863" t="s">
        <v>1118</v>
      </c>
    </row>
    <row r="864" spans="1:7" x14ac:dyDescent="0.3">
      <c r="A864" t="s">
        <v>1576</v>
      </c>
      <c r="B864" t="s">
        <v>27</v>
      </c>
      <c r="C864" t="s">
        <v>28</v>
      </c>
      <c r="D864" t="s">
        <v>1123</v>
      </c>
      <c r="E864" t="s">
        <v>1008</v>
      </c>
      <c r="F864" t="s">
        <v>1009</v>
      </c>
      <c r="G864" t="s">
        <v>1119</v>
      </c>
    </row>
    <row r="865" spans="1:7" x14ac:dyDescent="0.3">
      <c r="A865" t="s">
        <v>1319</v>
      </c>
      <c r="B865" t="s">
        <v>76</v>
      </c>
      <c r="C865" t="s">
        <v>77</v>
      </c>
      <c r="D865" t="s">
        <v>1120</v>
      </c>
      <c r="E865" t="s">
        <v>87</v>
      </c>
      <c r="F865" t="s">
        <v>88</v>
      </c>
      <c r="G865" t="s">
        <v>1119</v>
      </c>
    </row>
    <row r="866" spans="1:7" x14ac:dyDescent="0.3">
      <c r="A866" t="s">
        <v>1374</v>
      </c>
      <c r="B866" t="s">
        <v>76</v>
      </c>
      <c r="C866" t="s">
        <v>84</v>
      </c>
      <c r="D866" t="s">
        <v>1118</v>
      </c>
      <c r="E866" t="s">
        <v>1188</v>
      </c>
      <c r="F866" t="s">
        <v>1010</v>
      </c>
      <c r="G866" t="s">
        <v>1119</v>
      </c>
    </row>
    <row r="867" spans="1:7" x14ac:dyDescent="0.3">
      <c r="A867" t="s">
        <v>1145</v>
      </c>
      <c r="B867" t="s">
        <v>89</v>
      </c>
      <c r="C867" t="s">
        <v>90</v>
      </c>
      <c r="D867" t="s">
        <v>1123</v>
      </c>
      <c r="E867" t="s">
        <v>1011</v>
      </c>
      <c r="F867" t="s">
        <v>491</v>
      </c>
      <c r="G867" t="s">
        <v>1122</v>
      </c>
    </row>
    <row r="868" spans="1:7" x14ac:dyDescent="0.3">
      <c r="A868" t="s">
        <v>1344</v>
      </c>
      <c r="B868" t="s">
        <v>76</v>
      </c>
      <c r="C868" t="s">
        <v>84</v>
      </c>
      <c r="D868" t="s">
        <v>700</v>
      </c>
      <c r="E868" t="s">
        <v>1012</v>
      </c>
      <c r="F868" t="s">
        <v>1013</v>
      </c>
      <c r="G868" t="s">
        <v>1121</v>
      </c>
    </row>
    <row r="869" spans="1:7" x14ac:dyDescent="0.3">
      <c r="A869" t="s">
        <v>1511</v>
      </c>
      <c r="B869" t="s">
        <v>27</v>
      </c>
      <c r="C869" t="s">
        <v>28</v>
      </c>
      <c r="D869" t="s">
        <v>700</v>
      </c>
      <c r="E869" t="s">
        <v>650</v>
      </c>
      <c r="F869" t="s">
        <v>1226</v>
      </c>
      <c r="G869" t="s">
        <v>1122</v>
      </c>
    </row>
    <row r="870" spans="1:7" x14ac:dyDescent="0.3">
      <c r="A870" t="s">
        <v>1619</v>
      </c>
      <c r="B870" t="s">
        <v>49</v>
      </c>
      <c r="C870" t="s">
        <v>52</v>
      </c>
      <c r="D870" t="s">
        <v>1121</v>
      </c>
      <c r="E870" t="s">
        <v>450</v>
      </c>
      <c r="F870" t="s">
        <v>1003</v>
      </c>
      <c r="G870" t="s">
        <v>1120</v>
      </c>
    </row>
    <row r="871" spans="1:7" x14ac:dyDescent="0.3">
      <c r="A871" t="s">
        <v>1635</v>
      </c>
      <c r="B871" t="s">
        <v>93</v>
      </c>
      <c r="C871" t="s">
        <v>101</v>
      </c>
      <c r="D871" t="s">
        <v>1123</v>
      </c>
      <c r="E871" t="s">
        <v>229</v>
      </c>
      <c r="F871" t="s">
        <v>517</v>
      </c>
      <c r="G871" t="s">
        <v>1120</v>
      </c>
    </row>
    <row r="872" spans="1:7" x14ac:dyDescent="0.3">
      <c r="A872" t="s">
        <v>1336</v>
      </c>
      <c r="B872" t="s">
        <v>49</v>
      </c>
      <c r="C872" t="s">
        <v>50</v>
      </c>
      <c r="D872" t="s">
        <v>1120</v>
      </c>
      <c r="E872" t="s">
        <v>551</v>
      </c>
      <c r="F872" t="s">
        <v>487</v>
      </c>
      <c r="G872" t="s">
        <v>1121</v>
      </c>
    </row>
    <row r="873" spans="1:7" x14ac:dyDescent="0.3">
      <c r="A873" t="s">
        <v>1146</v>
      </c>
      <c r="B873" t="s">
        <v>27</v>
      </c>
      <c r="C873" t="s">
        <v>38</v>
      </c>
      <c r="D873" t="s">
        <v>1118</v>
      </c>
      <c r="E873" t="s">
        <v>263</v>
      </c>
      <c r="F873" t="s">
        <v>429</v>
      </c>
      <c r="G873" t="s">
        <v>1122</v>
      </c>
    </row>
    <row r="874" spans="1:7" x14ac:dyDescent="0.3">
      <c r="A874" t="s">
        <v>1619</v>
      </c>
      <c r="B874" t="s">
        <v>49</v>
      </c>
      <c r="C874" t="s">
        <v>50</v>
      </c>
      <c r="D874" t="s">
        <v>1123</v>
      </c>
      <c r="E874" t="s">
        <v>1014</v>
      </c>
      <c r="F874" t="s">
        <v>1279</v>
      </c>
      <c r="G874" t="s">
        <v>1119</v>
      </c>
    </row>
    <row r="875" spans="1:7" x14ac:dyDescent="0.3">
      <c r="A875" t="s">
        <v>1514</v>
      </c>
      <c r="B875" t="s">
        <v>49</v>
      </c>
      <c r="C875" t="s">
        <v>50</v>
      </c>
      <c r="D875" t="s">
        <v>700</v>
      </c>
      <c r="E875" t="s">
        <v>102</v>
      </c>
      <c r="F875" t="s">
        <v>1015</v>
      </c>
      <c r="G875" t="s">
        <v>1121</v>
      </c>
    </row>
    <row r="876" spans="1:7" x14ac:dyDescent="0.3">
      <c r="A876" t="s">
        <v>1582</v>
      </c>
      <c r="B876" t="s">
        <v>93</v>
      </c>
      <c r="C876" t="s">
        <v>66</v>
      </c>
      <c r="D876" t="s">
        <v>1118</v>
      </c>
      <c r="E876" t="s">
        <v>62</v>
      </c>
      <c r="F876" t="s">
        <v>909</v>
      </c>
      <c r="G876" t="s">
        <v>1121</v>
      </c>
    </row>
    <row r="877" spans="1:7" x14ac:dyDescent="0.3">
      <c r="A877" t="s">
        <v>1454</v>
      </c>
      <c r="B877" t="s">
        <v>60</v>
      </c>
      <c r="C877" t="s">
        <v>61</v>
      </c>
      <c r="D877" t="s">
        <v>1123</v>
      </c>
      <c r="E877" t="s">
        <v>134</v>
      </c>
      <c r="F877" t="s">
        <v>1214</v>
      </c>
      <c r="G877" t="s">
        <v>1122</v>
      </c>
    </row>
    <row r="878" spans="1:7" x14ac:dyDescent="0.3">
      <c r="A878" t="s">
        <v>1289</v>
      </c>
      <c r="B878" t="s">
        <v>93</v>
      </c>
      <c r="C878" t="s">
        <v>57</v>
      </c>
      <c r="D878" t="s">
        <v>700</v>
      </c>
      <c r="E878" t="s">
        <v>1216</v>
      </c>
      <c r="F878" t="s">
        <v>1016</v>
      </c>
      <c r="G878" t="s">
        <v>1123</v>
      </c>
    </row>
    <row r="879" spans="1:7" x14ac:dyDescent="0.3">
      <c r="A879" t="s">
        <v>1636</v>
      </c>
      <c r="B879" t="s">
        <v>60</v>
      </c>
      <c r="C879" t="s">
        <v>69</v>
      </c>
      <c r="D879" t="s">
        <v>1121</v>
      </c>
      <c r="E879" t="s">
        <v>937</v>
      </c>
      <c r="F879" t="s">
        <v>1017</v>
      </c>
      <c r="G879" t="s">
        <v>1118</v>
      </c>
    </row>
    <row r="880" spans="1:7" x14ac:dyDescent="0.3">
      <c r="A880" t="s">
        <v>1375</v>
      </c>
      <c r="B880" t="s">
        <v>49</v>
      </c>
      <c r="C880" t="s">
        <v>52</v>
      </c>
      <c r="D880" t="s">
        <v>1118</v>
      </c>
      <c r="E880" t="s">
        <v>338</v>
      </c>
      <c r="F880" t="s">
        <v>411</v>
      </c>
      <c r="G880" t="s">
        <v>1118</v>
      </c>
    </row>
    <row r="881" spans="1:7" x14ac:dyDescent="0.3">
      <c r="A881" t="s">
        <v>1637</v>
      </c>
      <c r="B881" t="s">
        <v>49</v>
      </c>
      <c r="C881" t="s">
        <v>50</v>
      </c>
      <c r="D881" t="s">
        <v>1118</v>
      </c>
      <c r="E881" t="s">
        <v>782</v>
      </c>
      <c r="F881" t="s">
        <v>686</v>
      </c>
      <c r="G881" t="s">
        <v>1118</v>
      </c>
    </row>
    <row r="882" spans="1:7" x14ac:dyDescent="0.3">
      <c r="A882" t="s">
        <v>1383</v>
      </c>
      <c r="B882" t="s">
        <v>76</v>
      </c>
      <c r="C882" t="s">
        <v>84</v>
      </c>
      <c r="D882" t="s">
        <v>700</v>
      </c>
      <c r="E882" t="s">
        <v>1018</v>
      </c>
      <c r="F882" t="s">
        <v>284</v>
      </c>
      <c r="G882" t="s">
        <v>1119</v>
      </c>
    </row>
    <row r="883" spans="1:7" x14ac:dyDescent="0.3">
      <c r="A883" t="s">
        <v>1338</v>
      </c>
      <c r="B883" t="s">
        <v>201</v>
      </c>
      <c r="C883" t="s">
        <v>208</v>
      </c>
      <c r="D883" t="s">
        <v>1118</v>
      </c>
      <c r="E883" t="s">
        <v>672</v>
      </c>
      <c r="F883" t="s">
        <v>1280</v>
      </c>
      <c r="G883" t="s">
        <v>1122</v>
      </c>
    </row>
    <row r="884" spans="1:7" x14ac:dyDescent="0.3">
      <c r="A884" t="s">
        <v>1630</v>
      </c>
      <c r="B884" t="s">
        <v>93</v>
      </c>
      <c r="C884" t="s">
        <v>57</v>
      </c>
      <c r="D884" t="s">
        <v>1123</v>
      </c>
      <c r="E884" t="s">
        <v>1268</v>
      </c>
      <c r="F884" t="s">
        <v>1019</v>
      </c>
      <c r="G884" t="s">
        <v>1122</v>
      </c>
    </row>
    <row r="885" spans="1:7" x14ac:dyDescent="0.3">
      <c r="A885" t="s">
        <v>1638</v>
      </c>
      <c r="B885" t="s">
        <v>76</v>
      </c>
      <c r="C885" t="s">
        <v>84</v>
      </c>
      <c r="D885" t="s">
        <v>700</v>
      </c>
      <c r="E885" t="s">
        <v>1020</v>
      </c>
      <c r="F885" t="s">
        <v>1021</v>
      </c>
      <c r="G885" t="s">
        <v>1119</v>
      </c>
    </row>
    <row r="886" spans="1:7" x14ac:dyDescent="0.3">
      <c r="A886" t="s">
        <v>1378</v>
      </c>
      <c r="B886" t="s">
        <v>27</v>
      </c>
      <c r="C886" t="s">
        <v>38</v>
      </c>
      <c r="D886" t="s">
        <v>1121</v>
      </c>
      <c r="E886" t="s">
        <v>704</v>
      </c>
      <c r="F886" t="s">
        <v>1246</v>
      </c>
      <c r="G886" t="s">
        <v>1118</v>
      </c>
    </row>
    <row r="887" spans="1:7" x14ac:dyDescent="0.3">
      <c r="A887" t="s">
        <v>1578</v>
      </c>
      <c r="B887" t="s">
        <v>27</v>
      </c>
      <c r="C887" t="s">
        <v>34</v>
      </c>
      <c r="D887" t="s">
        <v>1120</v>
      </c>
      <c r="E887" t="s">
        <v>418</v>
      </c>
      <c r="F887" t="s">
        <v>1022</v>
      </c>
      <c r="G887" t="s">
        <v>1119</v>
      </c>
    </row>
    <row r="888" spans="1:7" x14ac:dyDescent="0.3">
      <c r="A888" t="s">
        <v>1485</v>
      </c>
      <c r="B888" t="s">
        <v>76</v>
      </c>
      <c r="C888" t="s">
        <v>84</v>
      </c>
      <c r="D888" t="s">
        <v>1118</v>
      </c>
      <c r="E888" t="s">
        <v>148</v>
      </c>
      <c r="F888" t="s">
        <v>553</v>
      </c>
      <c r="G888" t="s">
        <v>1122</v>
      </c>
    </row>
    <row r="889" spans="1:7" x14ac:dyDescent="0.3">
      <c r="A889" t="s">
        <v>1501</v>
      </c>
      <c r="B889" t="s">
        <v>49</v>
      </c>
      <c r="C889" t="s">
        <v>50</v>
      </c>
      <c r="D889" t="s">
        <v>1118</v>
      </c>
      <c r="E889" t="s">
        <v>96</v>
      </c>
      <c r="F889" t="s">
        <v>1281</v>
      </c>
      <c r="G889" t="s">
        <v>1118</v>
      </c>
    </row>
    <row r="890" spans="1:7" x14ac:dyDescent="0.3">
      <c r="A890" t="s">
        <v>1467</v>
      </c>
      <c r="B890" t="s">
        <v>27</v>
      </c>
      <c r="C890" t="s">
        <v>28</v>
      </c>
      <c r="D890" t="s">
        <v>1120</v>
      </c>
      <c r="E890" t="s">
        <v>67</v>
      </c>
      <c r="F890" t="s">
        <v>1023</v>
      </c>
      <c r="G890" t="s">
        <v>1122</v>
      </c>
    </row>
    <row r="891" spans="1:7" x14ac:dyDescent="0.3">
      <c r="A891" t="s">
        <v>1577</v>
      </c>
      <c r="B891" t="s">
        <v>89</v>
      </c>
      <c r="C891" t="s">
        <v>90</v>
      </c>
      <c r="D891" t="s">
        <v>1121</v>
      </c>
      <c r="E891" t="s">
        <v>279</v>
      </c>
      <c r="F891" t="s">
        <v>1024</v>
      </c>
      <c r="G891" t="s">
        <v>1119</v>
      </c>
    </row>
    <row r="892" spans="1:7" x14ac:dyDescent="0.3">
      <c r="A892" t="s">
        <v>1465</v>
      </c>
      <c r="B892" t="s">
        <v>60</v>
      </c>
      <c r="C892" t="s">
        <v>64</v>
      </c>
      <c r="D892" t="s">
        <v>1118</v>
      </c>
      <c r="E892" t="s">
        <v>513</v>
      </c>
      <c r="F892" t="s">
        <v>679</v>
      </c>
      <c r="G892" t="s">
        <v>1121</v>
      </c>
    </row>
    <row r="893" spans="1:7" x14ac:dyDescent="0.3">
      <c r="A893" t="s">
        <v>1350</v>
      </c>
      <c r="B893" t="s">
        <v>49</v>
      </c>
      <c r="C893" t="s">
        <v>52</v>
      </c>
      <c r="D893" t="s">
        <v>700</v>
      </c>
      <c r="E893" t="s">
        <v>215</v>
      </c>
      <c r="F893" t="s">
        <v>801</v>
      </c>
      <c r="G893" t="s">
        <v>1120</v>
      </c>
    </row>
    <row r="894" spans="1:7" x14ac:dyDescent="0.3">
      <c r="A894" t="s">
        <v>1465</v>
      </c>
      <c r="B894" t="s">
        <v>93</v>
      </c>
      <c r="C894" t="s">
        <v>101</v>
      </c>
      <c r="D894" t="s">
        <v>1118</v>
      </c>
      <c r="E894" t="s">
        <v>941</v>
      </c>
      <c r="F894" t="s">
        <v>1025</v>
      </c>
      <c r="G894" t="s">
        <v>1120</v>
      </c>
    </row>
    <row r="895" spans="1:7" x14ac:dyDescent="0.3">
      <c r="A895" t="s">
        <v>1488</v>
      </c>
      <c r="B895" t="s">
        <v>113</v>
      </c>
      <c r="C895" t="s">
        <v>28</v>
      </c>
      <c r="D895" t="s">
        <v>1120</v>
      </c>
      <c r="E895" t="s">
        <v>546</v>
      </c>
      <c r="F895" t="s">
        <v>105</v>
      </c>
      <c r="G895" t="s">
        <v>1122</v>
      </c>
    </row>
    <row r="896" spans="1:7" x14ac:dyDescent="0.3">
      <c r="A896" t="s">
        <v>1304</v>
      </c>
      <c r="B896" t="s">
        <v>49</v>
      </c>
      <c r="C896" t="s">
        <v>52</v>
      </c>
      <c r="D896" t="s">
        <v>1118</v>
      </c>
      <c r="E896" t="s">
        <v>250</v>
      </c>
      <c r="F896" t="s">
        <v>446</v>
      </c>
      <c r="G896" t="s">
        <v>1121</v>
      </c>
    </row>
    <row r="897" spans="1:7" x14ac:dyDescent="0.3">
      <c r="A897" t="s">
        <v>1455</v>
      </c>
      <c r="B897" t="s">
        <v>27</v>
      </c>
      <c r="C897" t="s">
        <v>38</v>
      </c>
      <c r="D897" t="s">
        <v>700</v>
      </c>
      <c r="E897" t="s">
        <v>1026</v>
      </c>
      <c r="F897" t="s">
        <v>1027</v>
      </c>
      <c r="G897" t="s">
        <v>1120</v>
      </c>
    </row>
    <row r="898" spans="1:7" x14ac:dyDescent="0.3">
      <c r="A898" t="s">
        <v>1601</v>
      </c>
      <c r="B898" t="s">
        <v>49</v>
      </c>
      <c r="C898" t="s">
        <v>50</v>
      </c>
      <c r="D898" t="s">
        <v>1121</v>
      </c>
      <c r="E898" t="s">
        <v>261</v>
      </c>
      <c r="F898" t="s">
        <v>516</v>
      </c>
      <c r="G898" t="s">
        <v>1122</v>
      </c>
    </row>
    <row r="899" spans="1:7" x14ac:dyDescent="0.3">
      <c r="A899" t="s">
        <v>1639</v>
      </c>
      <c r="B899" t="s">
        <v>49</v>
      </c>
      <c r="C899" t="s">
        <v>50</v>
      </c>
      <c r="D899" t="s">
        <v>1123</v>
      </c>
      <c r="E899" t="s">
        <v>196</v>
      </c>
      <c r="F899" t="s">
        <v>347</v>
      </c>
      <c r="G899" t="s">
        <v>1121</v>
      </c>
    </row>
    <row r="900" spans="1:7" x14ac:dyDescent="0.3">
      <c r="A900" t="s">
        <v>1326</v>
      </c>
      <c r="B900" t="s">
        <v>168</v>
      </c>
      <c r="C900" t="s">
        <v>169</v>
      </c>
      <c r="D900" t="s">
        <v>1120</v>
      </c>
      <c r="E900" t="s">
        <v>452</v>
      </c>
      <c r="F900" t="s">
        <v>744</v>
      </c>
      <c r="G900" t="s">
        <v>1118</v>
      </c>
    </row>
    <row r="901" spans="1:7" x14ac:dyDescent="0.3">
      <c r="A901" t="s">
        <v>1382</v>
      </c>
      <c r="B901" t="s">
        <v>60</v>
      </c>
      <c r="C901" t="s">
        <v>69</v>
      </c>
      <c r="D901" t="s">
        <v>1120</v>
      </c>
      <c r="E901" t="s">
        <v>291</v>
      </c>
      <c r="F901" t="s">
        <v>565</v>
      </c>
      <c r="G901" t="s">
        <v>1122</v>
      </c>
    </row>
    <row r="902" spans="1:7" x14ac:dyDescent="0.3">
      <c r="A902" t="s">
        <v>1323</v>
      </c>
      <c r="B902" t="s">
        <v>27</v>
      </c>
      <c r="C902" t="s">
        <v>31</v>
      </c>
      <c r="D902" t="s">
        <v>1121</v>
      </c>
      <c r="E902" t="s">
        <v>777</v>
      </c>
      <c r="F902" t="s">
        <v>1282</v>
      </c>
      <c r="G902" t="s">
        <v>1119</v>
      </c>
    </row>
    <row r="903" spans="1:7" x14ac:dyDescent="0.3">
      <c r="A903" t="s">
        <v>1615</v>
      </c>
      <c r="B903" t="s">
        <v>89</v>
      </c>
      <c r="C903" t="s">
        <v>90</v>
      </c>
      <c r="D903" t="s">
        <v>1123</v>
      </c>
      <c r="E903" t="s">
        <v>1283</v>
      </c>
      <c r="F903" t="s">
        <v>1028</v>
      </c>
      <c r="G903" t="s">
        <v>1119</v>
      </c>
    </row>
    <row r="904" spans="1:7" x14ac:dyDescent="0.3">
      <c r="A904" t="s">
        <v>1451</v>
      </c>
      <c r="B904" t="s">
        <v>76</v>
      </c>
      <c r="C904" t="s">
        <v>84</v>
      </c>
      <c r="D904" t="s">
        <v>1123</v>
      </c>
      <c r="E904" t="s">
        <v>1029</v>
      </c>
      <c r="F904" t="s">
        <v>1030</v>
      </c>
      <c r="G904" t="s">
        <v>1122</v>
      </c>
    </row>
    <row r="905" spans="1:7" x14ac:dyDescent="0.3">
      <c r="A905" t="s">
        <v>1361</v>
      </c>
      <c r="B905" t="s">
        <v>27</v>
      </c>
      <c r="C905" t="s">
        <v>38</v>
      </c>
      <c r="D905" t="s">
        <v>700</v>
      </c>
      <c r="E905" t="s">
        <v>356</v>
      </c>
      <c r="F905" t="s">
        <v>1284</v>
      </c>
      <c r="G905" t="s">
        <v>1119</v>
      </c>
    </row>
    <row r="906" spans="1:7" x14ac:dyDescent="0.3">
      <c r="A906" t="s">
        <v>1555</v>
      </c>
      <c r="B906" t="s">
        <v>41</v>
      </c>
      <c r="C906" t="s">
        <v>46</v>
      </c>
      <c r="D906" t="s">
        <v>700</v>
      </c>
      <c r="E906" t="s">
        <v>813</v>
      </c>
      <c r="F906" t="s">
        <v>916</v>
      </c>
      <c r="G906" t="s">
        <v>1119</v>
      </c>
    </row>
    <row r="907" spans="1:7" x14ac:dyDescent="0.3">
      <c r="A907" t="s">
        <v>1416</v>
      </c>
      <c r="B907" t="s">
        <v>93</v>
      </c>
      <c r="C907" t="s">
        <v>57</v>
      </c>
      <c r="D907" t="s">
        <v>700</v>
      </c>
      <c r="E907" t="s">
        <v>244</v>
      </c>
      <c r="F907" t="s">
        <v>1031</v>
      </c>
      <c r="G907" t="s">
        <v>1122</v>
      </c>
    </row>
    <row r="908" spans="1:7" x14ac:dyDescent="0.3">
      <c r="A908" t="s">
        <v>1291</v>
      </c>
      <c r="B908" t="s">
        <v>60</v>
      </c>
      <c r="C908" t="s">
        <v>69</v>
      </c>
      <c r="D908" t="s">
        <v>1118</v>
      </c>
      <c r="E908" t="s">
        <v>1177</v>
      </c>
      <c r="F908" t="s">
        <v>1032</v>
      </c>
      <c r="G908" t="s">
        <v>1121</v>
      </c>
    </row>
    <row r="909" spans="1:7" x14ac:dyDescent="0.3">
      <c r="A909" t="s">
        <v>1607</v>
      </c>
      <c r="B909" t="s">
        <v>108</v>
      </c>
      <c r="C909" t="s">
        <v>208</v>
      </c>
      <c r="D909" t="s">
        <v>700</v>
      </c>
      <c r="E909" t="s">
        <v>1033</v>
      </c>
      <c r="F909" t="s">
        <v>1034</v>
      </c>
      <c r="G909" t="s">
        <v>1122</v>
      </c>
    </row>
    <row r="910" spans="1:7" x14ac:dyDescent="0.3">
      <c r="A910" t="s">
        <v>1557</v>
      </c>
      <c r="B910" t="s">
        <v>27</v>
      </c>
      <c r="C910" t="s">
        <v>31</v>
      </c>
      <c r="D910" t="s">
        <v>1120</v>
      </c>
      <c r="E910" t="s">
        <v>567</v>
      </c>
      <c r="F910" t="s">
        <v>512</v>
      </c>
      <c r="G910" t="s">
        <v>1122</v>
      </c>
    </row>
    <row r="911" spans="1:7" x14ac:dyDescent="0.3">
      <c r="A911" t="s">
        <v>1345</v>
      </c>
      <c r="B911" t="s">
        <v>27</v>
      </c>
      <c r="C911" t="s">
        <v>38</v>
      </c>
      <c r="D911" t="s">
        <v>1123</v>
      </c>
      <c r="E911" t="s">
        <v>597</v>
      </c>
      <c r="F911" t="s">
        <v>532</v>
      </c>
      <c r="G911" t="s">
        <v>1122</v>
      </c>
    </row>
    <row r="912" spans="1:7" x14ac:dyDescent="0.3">
      <c r="A912" t="s">
        <v>1318</v>
      </c>
      <c r="B912" t="s">
        <v>201</v>
      </c>
      <c r="C912" t="s">
        <v>169</v>
      </c>
      <c r="D912" t="s">
        <v>1118</v>
      </c>
      <c r="E912" t="s">
        <v>458</v>
      </c>
      <c r="F912" t="s">
        <v>1035</v>
      </c>
      <c r="G912" t="s">
        <v>1120</v>
      </c>
    </row>
    <row r="913" spans="1:7" x14ac:dyDescent="0.3">
      <c r="A913" t="s">
        <v>1482</v>
      </c>
      <c r="B913" t="s">
        <v>189</v>
      </c>
      <c r="C913" t="s">
        <v>50</v>
      </c>
      <c r="D913" t="s">
        <v>1118</v>
      </c>
      <c r="E913" t="s">
        <v>349</v>
      </c>
      <c r="F913" t="s">
        <v>1036</v>
      </c>
      <c r="G913" t="s">
        <v>1119</v>
      </c>
    </row>
    <row r="914" spans="1:7" x14ac:dyDescent="0.3">
      <c r="A914" t="s">
        <v>1348</v>
      </c>
      <c r="B914" t="s">
        <v>76</v>
      </c>
      <c r="C914" t="s">
        <v>77</v>
      </c>
      <c r="D914" t="s">
        <v>1120</v>
      </c>
      <c r="E914" t="s">
        <v>546</v>
      </c>
      <c r="F914" t="s">
        <v>792</v>
      </c>
      <c r="G914" t="s">
        <v>1121</v>
      </c>
    </row>
    <row r="915" spans="1:7" x14ac:dyDescent="0.3">
      <c r="A915" t="s">
        <v>1393</v>
      </c>
      <c r="B915" t="s">
        <v>60</v>
      </c>
      <c r="C915" t="s">
        <v>69</v>
      </c>
      <c r="D915" t="s">
        <v>700</v>
      </c>
      <c r="E915" t="s">
        <v>598</v>
      </c>
      <c r="F915" t="s">
        <v>1253</v>
      </c>
      <c r="G915" t="s">
        <v>1121</v>
      </c>
    </row>
    <row r="916" spans="1:7" x14ac:dyDescent="0.3">
      <c r="A916" t="s">
        <v>1640</v>
      </c>
      <c r="B916" t="s">
        <v>76</v>
      </c>
      <c r="C916" t="s">
        <v>80</v>
      </c>
      <c r="D916" t="s">
        <v>1118</v>
      </c>
      <c r="E916" t="s">
        <v>511</v>
      </c>
      <c r="F916" t="s">
        <v>1037</v>
      </c>
      <c r="G916" t="s">
        <v>1118</v>
      </c>
    </row>
    <row r="917" spans="1:7" x14ac:dyDescent="0.3">
      <c r="A917" t="s">
        <v>1362</v>
      </c>
      <c r="B917" t="s">
        <v>41</v>
      </c>
      <c r="C917" t="s">
        <v>42</v>
      </c>
      <c r="D917" t="s">
        <v>1120</v>
      </c>
      <c r="E917" t="s">
        <v>988</v>
      </c>
      <c r="F917" t="s">
        <v>1215</v>
      </c>
      <c r="G917" t="s">
        <v>1121</v>
      </c>
    </row>
    <row r="918" spans="1:7" x14ac:dyDescent="0.3">
      <c r="A918" t="s">
        <v>1331</v>
      </c>
      <c r="B918" t="s">
        <v>108</v>
      </c>
      <c r="C918" t="s">
        <v>109</v>
      </c>
      <c r="D918" t="s">
        <v>700</v>
      </c>
      <c r="E918" t="s">
        <v>811</v>
      </c>
      <c r="F918" t="s">
        <v>1038</v>
      </c>
      <c r="G918" t="s">
        <v>1122</v>
      </c>
    </row>
    <row r="919" spans="1:7" x14ac:dyDescent="0.3">
      <c r="A919" t="s">
        <v>1428</v>
      </c>
      <c r="B919" t="s">
        <v>89</v>
      </c>
      <c r="C919" t="s">
        <v>131</v>
      </c>
      <c r="D919" t="s">
        <v>1120</v>
      </c>
      <c r="E919" t="s">
        <v>461</v>
      </c>
      <c r="F919" t="s">
        <v>243</v>
      </c>
      <c r="G919" t="s">
        <v>1120</v>
      </c>
    </row>
    <row r="920" spans="1:7" x14ac:dyDescent="0.3">
      <c r="A920" t="s">
        <v>1400</v>
      </c>
      <c r="B920" t="s">
        <v>89</v>
      </c>
      <c r="C920" t="s">
        <v>131</v>
      </c>
      <c r="D920" t="s">
        <v>700</v>
      </c>
      <c r="E920" t="s">
        <v>1039</v>
      </c>
      <c r="F920" t="s">
        <v>1285</v>
      </c>
      <c r="G920" t="s">
        <v>1122</v>
      </c>
    </row>
    <row r="921" spans="1:7" x14ac:dyDescent="0.3">
      <c r="A921" t="s">
        <v>1569</v>
      </c>
      <c r="B921" t="s">
        <v>93</v>
      </c>
      <c r="C921" t="s">
        <v>101</v>
      </c>
      <c r="D921" t="s">
        <v>1120</v>
      </c>
      <c r="E921" t="s">
        <v>179</v>
      </c>
      <c r="F921" t="s">
        <v>1040</v>
      </c>
      <c r="G921" t="s">
        <v>1120</v>
      </c>
    </row>
    <row r="922" spans="1:7" x14ac:dyDescent="0.3">
      <c r="A922" t="s">
        <v>1380</v>
      </c>
      <c r="B922" t="s">
        <v>27</v>
      </c>
      <c r="C922" t="s">
        <v>31</v>
      </c>
      <c r="D922" t="s">
        <v>1121</v>
      </c>
      <c r="E922" t="s">
        <v>54</v>
      </c>
      <c r="F922" t="s">
        <v>162</v>
      </c>
      <c r="G922" t="s">
        <v>1119</v>
      </c>
    </row>
    <row r="923" spans="1:7" x14ac:dyDescent="0.3">
      <c r="A923" t="s">
        <v>1290</v>
      </c>
      <c r="B923" t="s">
        <v>49</v>
      </c>
      <c r="C923" t="s">
        <v>50</v>
      </c>
      <c r="D923" t="s">
        <v>700</v>
      </c>
      <c r="E923" t="s">
        <v>380</v>
      </c>
      <c r="F923" t="s">
        <v>1041</v>
      </c>
      <c r="G923" t="s">
        <v>1122</v>
      </c>
    </row>
    <row r="924" spans="1:7" x14ac:dyDescent="0.3">
      <c r="A924" t="s">
        <v>1442</v>
      </c>
      <c r="B924" t="s">
        <v>93</v>
      </c>
      <c r="C924" t="s">
        <v>101</v>
      </c>
      <c r="D924" t="s">
        <v>1120</v>
      </c>
      <c r="E924" t="s">
        <v>130</v>
      </c>
      <c r="F924" t="s">
        <v>1042</v>
      </c>
      <c r="G924" t="s">
        <v>1119</v>
      </c>
    </row>
    <row r="925" spans="1:7" x14ac:dyDescent="0.3">
      <c r="A925" t="s">
        <v>1452</v>
      </c>
      <c r="B925" t="s">
        <v>108</v>
      </c>
      <c r="C925" t="s">
        <v>208</v>
      </c>
      <c r="D925" t="s">
        <v>1120</v>
      </c>
      <c r="E925" t="s">
        <v>29</v>
      </c>
      <c r="F925" t="s">
        <v>1043</v>
      </c>
      <c r="G925" t="s">
        <v>1118</v>
      </c>
    </row>
    <row r="926" spans="1:7" x14ac:dyDescent="0.3">
      <c r="A926" t="s">
        <v>1329</v>
      </c>
      <c r="B926" t="s">
        <v>108</v>
      </c>
      <c r="C926" t="s">
        <v>208</v>
      </c>
      <c r="D926" t="s">
        <v>1120</v>
      </c>
      <c r="E926" t="s">
        <v>1224</v>
      </c>
      <c r="F926" t="s">
        <v>636</v>
      </c>
      <c r="G926" t="s">
        <v>1122</v>
      </c>
    </row>
    <row r="927" spans="1:7" x14ac:dyDescent="0.3">
      <c r="A927" t="s">
        <v>1399</v>
      </c>
      <c r="B927" t="s">
        <v>27</v>
      </c>
      <c r="C927" t="s">
        <v>28</v>
      </c>
      <c r="D927" t="s">
        <v>1118</v>
      </c>
      <c r="E927" t="s">
        <v>193</v>
      </c>
      <c r="F927" t="s">
        <v>1044</v>
      </c>
      <c r="G927" t="s">
        <v>1119</v>
      </c>
    </row>
    <row r="928" spans="1:7" x14ac:dyDescent="0.3">
      <c r="A928" t="s">
        <v>1641</v>
      </c>
      <c r="B928" t="s">
        <v>49</v>
      </c>
      <c r="C928" t="s">
        <v>52</v>
      </c>
      <c r="D928" t="s">
        <v>1121</v>
      </c>
      <c r="E928" t="s">
        <v>1241</v>
      </c>
      <c r="F928" t="s">
        <v>925</v>
      </c>
      <c r="G928" t="s">
        <v>66</v>
      </c>
    </row>
    <row r="929" spans="1:7" x14ac:dyDescent="0.3">
      <c r="A929" t="s">
        <v>1491</v>
      </c>
      <c r="B929" t="s">
        <v>108</v>
      </c>
      <c r="C929" t="s">
        <v>169</v>
      </c>
      <c r="D929" t="s">
        <v>1120</v>
      </c>
      <c r="E929" t="s">
        <v>104</v>
      </c>
      <c r="F929" t="s">
        <v>1045</v>
      </c>
      <c r="G929" t="s">
        <v>1118</v>
      </c>
    </row>
    <row r="930" spans="1:7" x14ac:dyDescent="0.3">
      <c r="A930" t="s">
        <v>1604</v>
      </c>
      <c r="B930" t="s">
        <v>41</v>
      </c>
      <c r="C930" t="s">
        <v>42</v>
      </c>
      <c r="D930" t="s">
        <v>1121</v>
      </c>
      <c r="E930" t="s">
        <v>1204</v>
      </c>
      <c r="F930" t="s">
        <v>479</v>
      </c>
      <c r="G930" t="s">
        <v>1119</v>
      </c>
    </row>
    <row r="931" spans="1:7" x14ac:dyDescent="0.3">
      <c r="A931" t="s">
        <v>1365</v>
      </c>
      <c r="B931" t="s">
        <v>27</v>
      </c>
      <c r="C931" t="s">
        <v>38</v>
      </c>
      <c r="D931" t="s">
        <v>700</v>
      </c>
      <c r="E931" t="s">
        <v>1046</v>
      </c>
      <c r="F931" t="s">
        <v>1047</v>
      </c>
      <c r="G931" t="s">
        <v>1122</v>
      </c>
    </row>
    <row r="932" spans="1:7" x14ac:dyDescent="0.3">
      <c r="A932" t="s">
        <v>1320</v>
      </c>
      <c r="B932" t="s">
        <v>41</v>
      </c>
      <c r="C932" t="s">
        <v>73</v>
      </c>
      <c r="D932" t="s">
        <v>1120</v>
      </c>
      <c r="E932" t="s">
        <v>889</v>
      </c>
      <c r="F932" t="s">
        <v>1048</v>
      </c>
      <c r="G932" t="s">
        <v>1121</v>
      </c>
    </row>
    <row r="933" spans="1:7" x14ac:dyDescent="0.3">
      <c r="A933" t="s">
        <v>1604</v>
      </c>
      <c r="B933" t="s">
        <v>108</v>
      </c>
      <c r="C933" t="s">
        <v>109</v>
      </c>
      <c r="D933" t="s">
        <v>1120</v>
      </c>
      <c r="E933" t="s">
        <v>567</v>
      </c>
      <c r="F933" t="s">
        <v>1049</v>
      </c>
      <c r="G933" t="s">
        <v>1118</v>
      </c>
    </row>
    <row r="934" spans="1:7" x14ac:dyDescent="0.3">
      <c r="A934" t="s">
        <v>1334</v>
      </c>
      <c r="B934" t="s">
        <v>89</v>
      </c>
      <c r="C934" t="s">
        <v>90</v>
      </c>
      <c r="D934" t="s">
        <v>1120</v>
      </c>
      <c r="E934" t="s">
        <v>533</v>
      </c>
      <c r="F934" t="s">
        <v>535</v>
      </c>
      <c r="G934" t="s">
        <v>1122</v>
      </c>
    </row>
    <row r="935" spans="1:7" x14ac:dyDescent="0.3">
      <c r="A935" t="s">
        <v>1336</v>
      </c>
      <c r="B935" t="s">
        <v>93</v>
      </c>
      <c r="C935" t="s">
        <v>57</v>
      </c>
      <c r="D935" t="s">
        <v>1120</v>
      </c>
      <c r="E935" t="s">
        <v>256</v>
      </c>
      <c r="F935" t="s">
        <v>1050</v>
      </c>
      <c r="G935" t="s">
        <v>1123</v>
      </c>
    </row>
    <row r="936" spans="1:7" x14ac:dyDescent="0.3">
      <c r="A936" t="s">
        <v>1311</v>
      </c>
      <c r="B936" t="s">
        <v>27</v>
      </c>
      <c r="C936" t="s">
        <v>28</v>
      </c>
      <c r="D936" t="s">
        <v>1118</v>
      </c>
      <c r="E936" t="s">
        <v>937</v>
      </c>
      <c r="F936" t="s">
        <v>1051</v>
      </c>
      <c r="G936" t="s">
        <v>1119</v>
      </c>
    </row>
    <row r="937" spans="1:7" x14ac:dyDescent="0.3">
      <c r="A937" t="s">
        <v>1633</v>
      </c>
      <c r="B937" t="s">
        <v>27</v>
      </c>
      <c r="C937" t="s">
        <v>28</v>
      </c>
      <c r="D937" t="s">
        <v>700</v>
      </c>
      <c r="E937" t="s">
        <v>969</v>
      </c>
      <c r="F937" t="s">
        <v>1286</v>
      </c>
      <c r="G937" t="s">
        <v>1122</v>
      </c>
    </row>
    <row r="938" spans="1:7" x14ac:dyDescent="0.3">
      <c r="A938" t="s">
        <v>1567</v>
      </c>
      <c r="B938" t="s">
        <v>108</v>
      </c>
      <c r="C938" t="s">
        <v>169</v>
      </c>
      <c r="D938" t="s">
        <v>700</v>
      </c>
      <c r="E938" t="s">
        <v>382</v>
      </c>
      <c r="F938" t="s">
        <v>780</v>
      </c>
      <c r="G938" t="s">
        <v>1119</v>
      </c>
    </row>
    <row r="939" spans="1:7" x14ac:dyDescent="0.3">
      <c r="A939" t="s">
        <v>1642</v>
      </c>
      <c r="B939" t="s">
        <v>27</v>
      </c>
      <c r="C939" t="s">
        <v>31</v>
      </c>
      <c r="D939" t="s">
        <v>1121</v>
      </c>
      <c r="E939" t="s">
        <v>704</v>
      </c>
      <c r="F939" t="s">
        <v>1266</v>
      </c>
      <c r="G939" t="s">
        <v>1122</v>
      </c>
    </row>
    <row r="940" spans="1:7" x14ac:dyDescent="0.3">
      <c r="A940" t="s">
        <v>1479</v>
      </c>
      <c r="B940" t="s">
        <v>76</v>
      </c>
      <c r="C940" t="s">
        <v>77</v>
      </c>
      <c r="D940" t="s">
        <v>1121</v>
      </c>
      <c r="E940" t="s">
        <v>1186</v>
      </c>
      <c r="F940" t="s">
        <v>1052</v>
      </c>
      <c r="G940" t="s">
        <v>1119</v>
      </c>
    </row>
    <row r="941" spans="1:7" x14ac:dyDescent="0.3">
      <c r="A941" t="s">
        <v>1420</v>
      </c>
      <c r="B941" t="s">
        <v>41</v>
      </c>
      <c r="C941" t="s">
        <v>42</v>
      </c>
      <c r="D941" t="s">
        <v>1118</v>
      </c>
      <c r="E941" t="s">
        <v>179</v>
      </c>
      <c r="F941" t="s">
        <v>1053</v>
      </c>
      <c r="G941" t="s">
        <v>1122</v>
      </c>
    </row>
    <row r="942" spans="1:7" x14ac:dyDescent="0.3">
      <c r="A942" t="s">
        <v>1462</v>
      </c>
      <c r="B942" t="s">
        <v>89</v>
      </c>
      <c r="C942" t="s">
        <v>131</v>
      </c>
      <c r="D942" t="s">
        <v>1120</v>
      </c>
      <c r="E942" t="s">
        <v>65</v>
      </c>
      <c r="F942" t="s">
        <v>483</v>
      </c>
      <c r="G942" t="s">
        <v>1118</v>
      </c>
    </row>
    <row r="943" spans="1:7" x14ac:dyDescent="0.3">
      <c r="A943" t="s">
        <v>1378</v>
      </c>
      <c r="B943" t="s">
        <v>89</v>
      </c>
      <c r="C943" t="s">
        <v>131</v>
      </c>
      <c r="D943" t="s">
        <v>1118</v>
      </c>
      <c r="E943" t="s">
        <v>863</v>
      </c>
      <c r="F943" t="s">
        <v>1036</v>
      </c>
      <c r="G943" t="s">
        <v>1119</v>
      </c>
    </row>
    <row r="944" spans="1:7" x14ac:dyDescent="0.3">
      <c r="A944" t="s">
        <v>1420</v>
      </c>
      <c r="B944" t="s">
        <v>89</v>
      </c>
      <c r="C944" t="s">
        <v>131</v>
      </c>
      <c r="D944" t="s">
        <v>1120</v>
      </c>
      <c r="E944" t="s">
        <v>546</v>
      </c>
      <c r="F944" t="s">
        <v>1054</v>
      </c>
      <c r="G944" t="s">
        <v>1118</v>
      </c>
    </row>
    <row r="945" spans="1:7" x14ac:dyDescent="0.3">
      <c r="A945" t="s">
        <v>1387</v>
      </c>
      <c r="B945" t="s">
        <v>27</v>
      </c>
      <c r="C945" t="s">
        <v>28</v>
      </c>
      <c r="D945" t="s">
        <v>1120</v>
      </c>
      <c r="E945" t="s">
        <v>285</v>
      </c>
      <c r="F945" t="s">
        <v>1055</v>
      </c>
      <c r="G945" t="s">
        <v>1120</v>
      </c>
    </row>
    <row r="946" spans="1:7" x14ac:dyDescent="0.3">
      <c r="A946" t="s">
        <v>1511</v>
      </c>
      <c r="B946" t="s">
        <v>93</v>
      </c>
      <c r="C946" t="s">
        <v>101</v>
      </c>
      <c r="D946" t="s">
        <v>1120</v>
      </c>
      <c r="E946" t="s">
        <v>159</v>
      </c>
      <c r="F946" t="s">
        <v>424</v>
      </c>
      <c r="G946" t="s">
        <v>1121</v>
      </c>
    </row>
    <row r="947" spans="1:7" x14ac:dyDescent="0.3">
      <c r="A947" t="s">
        <v>1507</v>
      </c>
      <c r="B947" t="s">
        <v>60</v>
      </c>
      <c r="C947" t="s">
        <v>69</v>
      </c>
      <c r="D947" t="s">
        <v>1120</v>
      </c>
      <c r="E947" t="s">
        <v>342</v>
      </c>
      <c r="F947" t="s">
        <v>1056</v>
      </c>
      <c r="G947" t="s">
        <v>1120</v>
      </c>
    </row>
    <row r="948" spans="1:7" x14ac:dyDescent="0.3">
      <c r="A948" t="s">
        <v>1486</v>
      </c>
      <c r="B948" t="s">
        <v>76</v>
      </c>
      <c r="C948" t="s">
        <v>77</v>
      </c>
      <c r="D948" t="s">
        <v>1121</v>
      </c>
      <c r="E948" t="s">
        <v>492</v>
      </c>
      <c r="F948" t="s">
        <v>658</v>
      </c>
      <c r="G948" t="s">
        <v>1122</v>
      </c>
    </row>
    <row r="949" spans="1:7" x14ac:dyDescent="0.3">
      <c r="A949" t="s">
        <v>1604</v>
      </c>
      <c r="B949" t="s">
        <v>27</v>
      </c>
      <c r="C949" t="s">
        <v>28</v>
      </c>
      <c r="D949" t="s">
        <v>1118</v>
      </c>
      <c r="E949" t="s">
        <v>174</v>
      </c>
      <c r="F949" t="s">
        <v>1057</v>
      </c>
      <c r="G949" t="s">
        <v>1121</v>
      </c>
    </row>
    <row r="950" spans="1:7" x14ac:dyDescent="0.3">
      <c r="A950" t="s">
        <v>1591</v>
      </c>
      <c r="B950" t="s">
        <v>60</v>
      </c>
      <c r="C950" t="s">
        <v>64</v>
      </c>
      <c r="D950" t="s">
        <v>1118</v>
      </c>
      <c r="E950" t="s">
        <v>863</v>
      </c>
      <c r="F950" t="s">
        <v>1057</v>
      </c>
      <c r="G950" t="s">
        <v>1121</v>
      </c>
    </row>
    <row r="951" spans="1:7" x14ac:dyDescent="0.3">
      <c r="A951" t="s">
        <v>1429</v>
      </c>
      <c r="B951" t="s">
        <v>93</v>
      </c>
      <c r="C951" t="s">
        <v>57</v>
      </c>
      <c r="D951" t="s">
        <v>1123</v>
      </c>
      <c r="E951" t="s">
        <v>91</v>
      </c>
      <c r="F951" t="s">
        <v>517</v>
      </c>
      <c r="G951" t="s">
        <v>1122</v>
      </c>
    </row>
    <row r="952" spans="1:7" x14ac:dyDescent="0.3">
      <c r="A952" t="s">
        <v>1445</v>
      </c>
      <c r="B952" t="s">
        <v>108</v>
      </c>
      <c r="C952" t="s">
        <v>66</v>
      </c>
      <c r="D952" t="s">
        <v>1123</v>
      </c>
      <c r="E952" t="s">
        <v>984</v>
      </c>
      <c r="F952" t="s">
        <v>1058</v>
      </c>
      <c r="G952" t="s">
        <v>1122</v>
      </c>
    </row>
    <row r="953" spans="1:7" x14ac:dyDescent="0.3">
      <c r="A953" t="s">
        <v>1600</v>
      </c>
      <c r="B953" t="s">
        <v>93</v>
      </c>
      <c r="C953" t="s">
        <v>101</v>
      </c>
      <c r="D953" t="s">
        <v>1123</v>
      </c>
      <c r="E953" t="s">
        <v>1211</v>
      </c>
      <c r="F953" t="s">
        <v>464</v>
      </c>
      <c r="G953" t="s">
        <v>1120</v>
      </c>
    </row>
    <row r="954" spans="1:7" x14ac:dyDescent="0.3">
      <c r="A954" t="s">
        <v>1387</v>
      </c>
      <c r="B954" t="s">
        <v>89</v>
      </c>
      <c r="C954" t="s">
        <v>131</v>
      </c>
      <c r="D954" t="s">
        <v>1121</v>
      </c>
      <c r="E954" t="s">
        <v>380</v>
      </c>
      <c r="F954" t="s">
        <v>75</v>
      </c>
      <c r="G954" t="s">
        <v>1119</v>
      </c>
    </row>
    <row r="955" spans="1:7" x14ac:dyDescent="0.3">
      <c r="A955" t="s">
        <v>1590</v>
      </c>
      <c r="B955" t="s">
        <v>89</v>
      </c>
      <c r="C955" t="s">
        <v>90</v>
      </c>
      <c r="D955" t="s">
        <v>1118</v>
      </c>
      <c r="E955" t="s">
        <v>913</v>
      </c>
      <c r="F955" t="s">
        <v>1059</v>
      </c>
      <c r="G955" t="s">
        <v>1118</v>
      </c>
    </row>
    <row r="956" spans="1:7" x14ac:dyDescent="0.3">
      <c r="A956" t="s">
        <v>1620</v>
      </c>
      <c r="B956" t="s">
        <v>108</v>
      </c>
      <c r="C956" t="s">
        <v>109</v>
      </c>
      <c r="D956" t="s">
        <v>1123</v>
      </c>
      <c r="E956" t="s">
        <v>428</v>
      </c>
      <c r="F956" t="s">
        <v>1060</v>
      </c>
      <c r="G956" t="s">
        <v>1122</v>
      </c>
    </row>
    <row r="957" spans="1:7" x14ac:dyDescent="0.3">
      <c r="A957" t="s">
        <v>1305</v>
      </c>
      <c r="B957" t="s">
        <v>27</v>
      </c>
      <c r="C957" t="s">
        <v>34</v>
      </c>
      <c r="D957" t="s">
        <v>1120</v>
      </c>
      <c r="E957" t="s">
        <v>321</v>
      </c>
      <c r="F957" t="s">
        <v>706</v>
      </c>
      <c r="G957" t="s">
        <v>1122</v>
      </c>
    </row>
    <row r="958" spans="1:7" x14ac:dyDescent="0.3">
      <c r="A958" t="s">
        <v>1453</v>
      </c>
      <c r="B958" t="s">
        <v>93</v>
      </c>
      <c r="C958" t="s">
        <v>101</v>
      </c>
      <c r="D958" t="s">
        <v>1120</v>
      </c>
      <c r="E958" t="s">
        <v>47</v>
      </c>
      <c r="F958" t="s">
        <v>1279</v>
      </c>
      <c r="G958" t="s">
        <v>1121</v>
      </c>
    </row>
    <row r="959" spans="1:7" x14ac:dyDescent="0.3">
      <c r="A959" t="s">
        <v>1355</v>
      </c>
      <c r="B959" t="s">
        <v>27</v>
      </c>
      <c r="C959" t="s">
        <v>28</v>
      </c>
      <c r="D959" t="s">
        <v>700</v>
      </c>
      <c r="E959" t="s">
        <v>756</v>
      </c>
      <c r="F959" t="s">
        <v>1061</v>
      </c>
      <c r="G959" t="s">
        <v>1119</v>
      </c>
    </row>
    <row r="960" spans="1:7" x14ac:dyDescent="0.3">
      <c r="A960" t="s">
        <v>1331</v>
      </c>
      <c r="B960" t="s">
        <v>93</v>
      </c>
      <c r="C960" t="s">
        <v>57</v>
      </c>
      <c r="D960" t="s">
        <v>1123</v>
      </c>
      <c r="E960" t="s">
        <v>212</v>
      </c>
      <c r="F960" t="s">
        <v>1062</v>
      </c>
      <c r="G960" t="s">
        <v>1122</v>
      </c>
    </row>
    <row r="961" spans="1:7" x14ac:dyDescent="0.3">
      <c r="A961" t="s">
        <v>1529</v>
      </c>
      <c r="B961" t="s">
        <v>89</v>
      </c>
      <c r="C961" t="s">
        <v>131</v>
      </c>
      <c r="D961" t="s">
        <v>1121</v>
      </c>
      <c r="E961" t="s">
        <v>179</v>
      </c>
      <c r="F961" t="s">
        <v>1063</v>
      </c>
      <c r="G961" t="s">
        <v>1118</v>
      </c>
    </row>
    <row r="962" spans="1:7" x14ac:dyDescent="0.3">
      <c r="A962" t="s">
        <v>1349</v>
      </c>
      <c r="B962" t="s">
        <v>89</v>
      </c>
      <c r="C962" t="s">
        <v>131</v>
      </c>
      <c r="D962" t="s">
        <v>700</v>
      </c>
      <c r="E962" t="s">
        <v>1064</v>
      </c>
      <c r="F962" t="s">
        <v>1065</v>
      </c>
      <c r="G962" t="s">
        <v>1121</v>
      </c>
    </row>
    <row r="963" spans="1:7" x14ac:dyDescent="0.3">
      <c r="A963" t="s">
        <v>1395</v>
      </c>
      <c r="B963" t="s">
        <v>108</v>
      </c>
      <c r="C963" t="s">
        <v>169</v>
      </c>
      <c r="D963" t="s">
        <v>1120</v>
      </c>
      <c r="E963" t="s">
        <v>191</v>
      </c>
      <c r="F963" t="s">
        <v>636</v>
      </c>
      <c r="G963" t="s">
        <v>1122</v>
      </c>
    </row>
    <row r="964" spans="1:7" x14ac:dyDescent="0.3">
      <c r="A964" t="s">
        <v>1300</v>
      </c>
      <c r="B964" t="s">
        <v>27</v>
      </c>
      <c r="C964" t="s">
        <v>28</v>
      </c>
      <c r="D964" t="s">
        <v>1120</v>
      </c>
      <c r="E964" t="s">
        <v>359</v>
      </c>
      <c r="F964" t="s">
        <v>360</v>
      </c>
      <c r="G964" t="s">
        <v>1122</v>
      </c>
    </row>
    <row r="965" spans="1:7" x14ac:dyDescent="0.3">
      <c r="A965" t="s">
        <v>1643</v>
      </c>
      <c r="B965" t="s">
        <v>27</v>
      </c>
      <c r="C965" t="s">
        <v>38</v>
      </c>
      <c r="D965" t="s">
        <v>1118</v>
      </c>
      <c r="E965" t="s">
        <v>551</v>
      </c>
      <c r="F965" t="s">
        <v>609</v>
      </c>
      <c r="G965" t="s">
        <v>1118</v>
      </c>
    </row>
    <row r="966" spans="1:7" x14ac:dyDescent="0.3">
      <c r="A966" t="s">
        <v>1454</v>
      </c>
      <c r="B966" t="s">
        <v>752</v>
      </c>
      <c r="C966" t="s">
        <v>90</v>
      </c>
      <c r="D966" t="s">
        <v>1118</v>
      </c>
      <c r="E966" t="s">
        <v>728</v>
      </c>
      <c r="F966" t="s">
        <v>1066</v>
      </c>
      <c r="G966" t="s">
        <v>1119</v>
      </c>
    </row>
    <row r="967" spans="1:7" x14ac:dyDescent="0.3">
      <c r="A967" t="s">
        <v>1357</v>
      </c>
      <c r="B967" t="s">
        <v>49</v>
      </c>
      <c r="C967" t="s">
        <v>52</v>
      </c>
      <c r="D967" t="s">
        <v>1118</v>
      </c>
      <c r="E967" t="s">
        <v>99</v>
      </c>
      <c r="F967" t="s">
        <v>1067</v>
      </c>
      <c r="G967" t="s">
        <v>1120</v>
      </c>
    </row>
    <row r="968" spans="1:7" x14ac:dyDescent="0.3">
      <c r="A968" t="s">
        <v>1315</v>
      </c>
      <c r="B968" t="s">
        <v>108</v>
      </c>
      <c r="C968" t="s">
        <v>109</v>
      </c>
      <c r="D968" t="s">
        <v>1118</v>
      </c>
      <c r="E968" t="s">
        <v>186</v>
      </c>
      <c r="F968" t="s">
        <v>105</v>
      </c>
      <c r="G968" t="s">
        <v>1122</v>
      </c>
    </row>
    <row r="969" spans="1:7" x14ac:dyDescent="0.3">
      <c r="A969" t="s">
        <v>1614</v>
      </c>
      <c r="B969" t="s">
        <v>89</v>
      </c>
      <c r="C969" t="s">
        <v>90</v>
      </c>
      <c r="D969" t="s">
        <v>1123</v>
      </c>
      <c r="E969" t="s">
        <v>720</v>
      </c>
      <c r="F969" t="s">
        <v>581</v>
      </c>
      <c r="G969" t="s">
        <v>1119</v>
      </c>
    </row>
    <row r="970" spans="1:7" x14ac:dyDescent="0.3">
      <c r="A970" t="s">
        <v>1627</v>
      </c>
      <c r="B970" t="s">
        <v>89</v>
      </c>
      <c r="C970" t="s">
        <v>131</v>
      </c>
      <c r="D970" t="s">
        <v>1121</v>
      </c>
      <c r="E970" t="s">
        <v>664</v>
      </c>
      <c r="F970" t="s">
        <v>254</v>
      </c>
      <c r="G970" t="s">
        <v>1118</v>
      </c>
    </row>
    <row r="971" spans="1:7" x14ac:dyDescent="0.3">
      <c r="A971" t="s">
        <v>1443</v>
      </c>
      <c r="B971" t="s">
        <v>41</v>
      </c>
      <c r="C971" t="s">
        <v>73</v>
      </c>
      <c r="D971" t="s">
        <v>1123</v>
      </c>
      <c r="E971" t="s">
        <v>1033</v>
      </c>
      <c r="F971" t="s">
        <v>331</v>
      </c>
      <c r="G971" t="s">
        <v>1118</v>
      </c>
    </row>
    <row r="972" spans="1:7" x14ac:dyDescent="0.3">
      <c r="A972" t="s">
        <v>1440</v>
      </c>
      <c r="B972" t="s">
        <v>49</v>
      </c>
      <c r="C972" t="s">
        <v>52</v>
      </c>
      <c r="D972" t="s">
        <v>1123</v>
      </c>
      <c r="E972" t="s">
        <v>104</v>
      </c>
      <c r="F972" t="s">
        <v>669</v>
      </c>
      <c r="G972" t="s">
        <v>1119</v>
      </c>
    </row>
    <row r="973" spans="1:7" x14ac:dyDescent="0.3">
      <c r="A973" t="s">
        <v>1309</v>
      </c>
      <c r="B973" t="s">
        <v>93</v>
      </c>
      <c r="C973" t="s">
        <v>101</v>
      </c>
      <c r="D973" t="s">
        <v>1120</v>
      </c>
      <c r="E973" t="s">
        <v>1220</v>
      </c>
      <c r="F973" t="s">
        <v>1068</v>
      </c>
      <c r="G973" t="s">
        <v>1119</v>
      </c>
    </row>
    <row r="974" spans="1:7" x14ac:dyDescent="0.3">
      <c r="A974" t="s">
        <v>1471</v>
      </c>
      <c r="B974" t="s">
        <v>93</v>
      </c>
      <c r="C974" t="s">
        <v>57</v>
      </c>
      <c r="D974" t="s">
        <v>1118</v>
      </c>
      <c r="E974" t="s">
        <v>1219</v>
      </c>
      <c r="F974" t="s">
        <v>482</v>
      </c>
      <c r="G974" t="s">
        <v>1122</v>
      </c>
    </row>
    <row r="975" spans="1:7" x14ac:dyDescent="0.3">
      <c r="A975" t="s">
        <v>1616</v>
      </c>
      <c r="B975" t="s">
        <v>49</v>
      </c>
      <c r="C975" t="s">
        <v>50</v>
      </c>
      <c r="D975" t="s">
        <v>1120</v>
      </c>
      <c r="E975" t="s">
        <v>205</v>
      </c>
      <c r="F975" t="s">
        <v>1069</v>
      </c>
      <c r="G975" t="s">
        <v>1120</v>
      </c>
    </row>
    <row r="976" spans="1:7" x14ac:dyDescent="0.3">
      <c r="A976" t="s">
        <v>1604</v>
      </c>
      <c r="B976" t="s">
        <v>60</v>
      </c>
      <c r="C976" t="s">
        <v>61</v>
      </c>
      <c r="D976" t="s">
        <v>1123</v>
      </c>
      <c r="E976" t="s">
        <v>1070</v>
      </c>
      <c r="F976" t="s">
        <v>667</v>
      </c>
      <c r="G976" t="s">
        <v>1122</v>
      </c>
    </row>
    <row r="977" spans="1:7" x14ac:dyDescent="0.3">
      <c r="A977" t="s">
        <v>1404</v>
      </c>
      <c r="B977" t="s">
        <v>76</v>
      </c>
      <c r="C977" t="s">
        <v>80</v>
      </c>
      <c r="D977" t="s">
        <v>700</v>
      </c>
      <c r="E977" t="s">
        <v>1194</v>
      </c>
      <c r="F977" t="s">
        <v>237</v>
      </c>
      <c r="G977" t="s">
        <v>1119</v>
      </c>
    </row>
    <row r="978" spans="1:7" x14ac:dyDescent="0.3">
      <c r="A978" t="s">
        <v>1548</v>
      </c>
      <c r="B978" t="s">
        <v>93</v>
      </c>
      <c r="C978" t="s">
        <v>101</v>
      </c>
      <c r="D978" t="s">
        <v>1118</v>
      </c>
      <c r="E978" t="s">
        <v>1071</v>
      </c>
      <c r="F978" t="s">
        <v>938</v>
      </c>
      <c r="G978" t="s">
        <v>1122</v>
      </c>
    </row>
    <row r="979" spans="1:7" x14ac:dyDescent="0.3">
      <c r="A979" t="s">
        <v>1357</v>
      </c>
      <c r="B979" t="s">
        <v>49</v>
      </c>
      <c r="C979" t="s">
        <v>52</v>
      </c>
      <c r="D979" t="s">
        <v>1121</v>
      </c>
      <c r="E979" t="s">
        <v>150</v>
      </c>
      <c r="F979" t="s">
        <v>1072</v>
      </c>
      <c r="G979" t="s">
        <v>1118</v>
      </c>
    </row>
    <row r="980" spans="1:7" x14ac:dyDescent="0.3">
      <c r="A980" t="s">
        <v>1461</v>
      </c>
      <c r="B980" t="s">
        <v>76</v>
      </c>
      <c r="C980" t="s">
        <v>80</v>
      </c>
      <c r="D980" t="s">
        <v>1118</v>
      </c>
      <c r="E980" t="s">
        <v>153</v>
      </c>
      <c r="F980" t="s">
        <v>729</v>
      </c>
      <c r="G980" t="s">
        <v>66</v>
      </c>
    </row>
    <row r="981" spans="1:7" x14ac:dyDescent="0.3">
      <c r="A981" t="s">
        <v>1355</v>
      </c>
      <c r="B981" t="s">
        <v>27</v>
      </c>
      <c r="C981" t="s">
        <v>28</v>
      </c>
      <c r="D981" t="s">
        <v>1120</v>
      </c>
      <c r="E981" t="s">
        <v>768</v>
      </c>
      <c r="F981" t="s">
        <v>1073</v>
      </c>
      <c r="G981" t="s">
        <v>1119</v>
      </c>
    </row>
    <row r="982" spans="1:7" x14ac:dyDescent="0.3">
      <c r="A982" t="s">
        <v>1602</v>
      </c>
      <c r="B982" t="s">
        <v>76</v>
      </c>
      <c r="C982" t="s">
        <v>77</v>
      </c>
      <c r="D982" t="s">
        <v>700</v>
      </c>
      <c r="E982" t="s">
        <v>1074</v>
      </c>
      <c r="F982" t="s">
        <v>1075</v>
      </c>
      <c r="G982" t="s">
        <v>1119</v>
      </c>
    </row>
    <row r="983" spans="1:7" x14ac:dyDescent="0.3">
      <c r="A983" t="s">
        <v>1564</v>
      </c>
      <c r="B983" t="s">
        <v>76</v>
      </c>
      <c r="C983" t="s">
        <v>80</v>
      </c>
      <c r="D983" t="s">
        <v>1121</v>
      </c>
      <c r="E983" t="s">
        <v>1211</v>
      </c>
      <c r="F983" t="s">
        <v>278</v>
      </c>
      <c r="G983" t="s">
        <v>1122</v>
      </c>
    </row>
    <row r="984" spans="1:7" x14ac:dyDescent="0.3">
      <c r="A984" t="s">
        <v>1313</v>
      </c>
      <c r="B984" t="s">
        <v>41</v>
      </c>
      <c r="C984" t="s">
        <v>42</v>
      </c>
      <c r="D984" t="s">
        <v>1120</v>
      </c>
      <c r="E984" t="s">
        <v>102</v>
      </c>
      <c r="F984" t="s">
        <v>667</v>
      </c>
      <c r="G984" t="s">
        <v>1121</v>
      </c>
    </row>
    <row r="985" spans="1:7" x14ac:dyDescent="0.3">
      <c r="A985" t="s">
        <v>1612</v>
      </c>
      <c r="B985" t="s">
        <v>1076</v>
      </c>
      <c r="C985" t="s">
        <v>61</v>
      </c>
      <c r="D985" t="s">
        <v>700</v>
      </c>
      <c r="E985" t="s">
        <v>1077</v>
      </c>
      <c r="F985" t="s">
        <v>1078</v>
      </c>
      <c r="G985" t="s">
        <v>1122</v>
      </c>
    </row>
    <row r="986" spans="1:7" x14ac:dyDescent="0.3">
      <c r="A986" t="s">
        <v>1443</v>
      </c>
      <c r="B986" t="s">
        <v>27</v>
      </c>
      <c r="C986" t="s">
        <v>34</v>
      </c>
      <c r="D986" t="s">
        <v>1123</v>
      </c>
      <c r="E986" t="s">
        <v>240</v>
      </c>
      <c r="F986" t="s">
        <v>806</v>
      </c>
      <c r="G986" t="s">
        <v>1119</v>
      </c>
    </row>
    <row r="987" spans="1:7" x14ac:dyDescent="0.3">
      <c r="A987" t="s">
        <v>1501</v>
      </c>
      <c r="B987" t="s">
        <v>93</v>
      </c>
      <c r="C987" t="s">
        <v>57</v>
      </c>
      <c r="D987" t="s">
        <v>700</v>
      </c>
      <c r="E987" t="s">
        <v>205</v>
      </c>
      <c r="F987" t="s">
        <v>812</v>
      </c>
      <c r="G987" t="s">
        <v>1118</v>
      </c>
    </row>
    <row r="988" spans="1:7" x14ac:dyDescent="0.3">
      <c r="A988" t="s">
        <v>1494</v>
      </c>
      <c r="B988" t="s">
        <v>76</v>
      </c>
      <c r="C988" t="s">
        <v>84</v>
      </c>
      <c r="D988" t="s">
        <v>1120</v>
      </c>
      <c r="E988" t="s">
        <v>536</v>
      </c>
      <c r="F988" t="s">
        <v>348</v>
      </c>
      <c r="G988" t="s">
        <v>1122</v>
      </c>
    </row>
    <row r="989" spans="1:7" x14ac:dyDescent="0.3">
      <c r="A989" t="s">
        <v>1342</v>
      </c>
      <c r="B989" t="s">
        <v>108</v>
      </c>
      <c r="C989" t="s">
        <v>109</v>
      </c>
      <c r="D989" t="s">
        <v>1123</v>
      </c>
      <c r="E989" t="s">
        <v>1079</v>
      </c>
      <c r="F989" t="s">
        <v>1080</v>
      </c>
      <c r="G989" t="s">
        <v>1119</v>
      </c>
    </row>
    <row r="990" spans="1:7" x14ac:dyDescent="0.3">
      <c r="A990" t="s">
        <v>1631</v>
      </c>
      <c r="B990" t="s">
        <v>89</v>
      </c>
      <c r="C990" t="s">
        <v>131</v>
      </c>
      <c r="D990" t="s">
        <v>1120</v>
      </c>
      <c r="E990" t="s">
        <v>141</v>
      </c>
      <c r="F990" t="s">
        <v>1081</v>
      </c>
      <c r="G990" t="s">
        <v>1122</v>
      </c>
    </row>
    <row r="991" spans="1:7" x14ac:dyDescent="0.3">
      <c r="A991" t="s">
        <v>1291</v>
      </c>
      <c r="B991" t="s">
        <v>60</v>
      </c>
      <c r="C991" t="s">
        <v>69</v>
      </c>
      <c r="D991" t="s">
        <v>1118</v>
      </c>
      <c r="E991" t="s">
        <v>707</v>
      </c>
      <c r="F991" t="s">
        <v>1265</v>
      </c>
      <c r="G991" t="s">
        <v>1120</v>
      </c>
    </row>
    <row r="992" spans="1:7" x14ac:dyDescent="0.3">
      <c r="A992" t="s">
        <v>1644</v>
      </c>
      <c r="B992" t="s">
        <v>108</v>
      </c>
      <c r="C992" t="s">
        <v>208</v>
      </c>
      <c r="D992" t="s">
        <v>1120</v>
      </c>
      <c r="E992" t="s">
        <v>787</v>
      </c>
      <c r="F992" t="s">
        <v>241</v>
      </c>
      <c r="G992" t="s">
        <v>1118</v>
      </c>
    </row>
    <row r="993" spans="1:7" x14ac:dyDescent="0.3">
      <c r="A993" t="s">
        <v>1324</v>
      </c>
      <c r="B993" t="s">
        <v>49</v>
      </c>
      <c r="C993" t="s">
        <v>50</v>
      </c>
      <c r="D993" t="s">
        <v>1123</v>
      </c>
      <c r="E993" t="s">
        <v>370</v>
      </c>
      <c r="F993" t="s">
        <v>1082</v>
      </c>
      <c r="G993" t="s">
        <v>1122</v>
      </c>
    </row>
    <row r="994" spans="1:7" x14ac:dyDescent="0.3">
      <c r="A994" t="s">
        <v>1436</v>
      </c>
      <c r="B994" t="s">
        <v>1076</v>
      </c>
      <c r="C994" t="s">
        <v>61</v>
      </c>
      <c r="D994" t="s">
        <v>1123</v>
      </c>
      <c r="E994" t="s">
        <v>74</v>
      </c>
      <c r="F994" t="s">
        <v>66</v>
      </c>
      <c r="G994" t="s">
        <v>1118</v>
      </c>
    </row>
    <row r="995" spans="1:7" x14ac:dyDescent="0.3">
      <c r="A995" t="s">
        <v>1385</v>
      </c>
      <c r="B995" t="s">
        <v>76</v>
      </c>
      <c r="C995" t="s">
        <v>77</v>
      </c>
      <c r="D995" t="s">
        <v>700</v>
      </c>
      <c r="E995" t="s">
        <v>132</v>
      </c>
      <c r="F995" t="s">
        <v>1083</v>
      </c>
      <c r="G995" t="s">
        <v>1122</v>
      </c>
    </row>
    <row r="996" spans="1:7" x14ac:dyDescent="0.3">
      <c r="A996" t="s">
        <v>1461</v>
      </c>
      <c r="B996" t="s">
        <v>27</v>
      </c>
      <c r="C996" t="s">
        <v>34</v>
      </c>
      <c r="D996" t="s">
        <v>700</v>
      </c>
      <c r="E996" t="s">
        <v>650</v>
      </c>
      <c r="F996" t="s">
        <v>1084</v>
      </c>
      <c r="G996" t="s">
        <v>1122</v>
      </c>
    </row>
    <row r="997" spans="1:7" x14ac:dyDescent="0.3">
      <c r="A997" t="s">
        <v>1330</v>
      </c>
      <c r="B997" t="s">
        <v>60</v>
      </c>
      <c r="C997" t="s">
        <v>64</v>
      </c>
      <c r="D997" t="s">
        <v>1120</v>
      </c>
      <c r="E997" t="s">
        <v>102</v>
      </c>
      <c r="F997" t="s">
        <v>1085</v>
      </c>
      <c r="G997" t="s">
        <v>1121</v>
      </c>
    </row>
    <row r="998" spans="1:7" x14ac:dyDescent="0.3">
      <c r="A998" t="s">
        <v>1488</v>
      </c>
      <c r="B998" t="s">
        <v>60</v>
      </c>
      <c r="C998" t="s">
        <v>69</v>
      </c>
      <c r="D998" t="s">
        <v>700</v>
      </c>
      <c r="E998" t="s">
        <v>67</v>
      </c>
      <c r="F998" t="s">
        <v>1086</v>
      </c>
      <c r="G998" t="s">
        <v>1118</v>
      </c>
    </row>
    <row r="999" spans="1:7" x14ac:dyDescent="0.3">
      <c r="A999" t="s">
        <v>1542</v>
      </c>
      <c r="B999" t="s">
        <v>1076</v>
      </c>
      <c r="C999" t="s">
        <v>64</v>
      </c>
      <c r="D999" t="s">
        <v>1118</v>
      </c>
      <c r="E999" t="s">
        <v>1087</v>
      </c>
      <c r="F999" t="s">
        <v>1088</v>
      </c>
      <c r="G999" t="s">
        <v>1121</v>
      </c>
    </row>
    <row r="1000" spans="1:7" x14ac:dyDescent="0.3">
      <c r="A1000" t="s">
        <v>1312</v>
      </c>
      <c r="B1000" t="s">
        <v>93</v>
      </c>
      <c r="C1000" t="s">
        <v>101</v>
      </c>
      <c r="D1000" t="s">
        <v>1118</v>
      </c>
      <c r="E1000" t="s">
        <v>1089</v>
      </c>
      <c r="F1000" t="s">
        <v>1090</v>
      </c>
      <c r="G1000" t="s">
        <v>1122</v>
      </c>
    </row>
    <row r="1001" spans="1:7" x14ac:dyDescent="0.3">
      <c r="A1001" t="s">
        <v>1384</v>
      </c>
      <c r="B1001" t="s">
        <v>41</v>
      </c>
      <c r="C1001" t="s">
        <v>73</v>
      </c>
      <c r="D1001" t="s">
        <v>1120</v>
      </c>
      <c r="E1001" t="s">
        <v>373</v>
      </c>
      <c r="F1001" t="s">
        <v>532</v>
      </c>
      <c r="G1001" t="s">
        <v>1118</v>
      </c>
    </row>
    <row r="1002" spans="1:7" x14ac:dyDescent="0.3">
      <c r="A1002" t="s">
        <v>1325</v>
      </c>
      <c r="B1002" t="s">
        <v>27</v>
      </c>
      <c r="C1002" t="s">
        <v>28</v>
      </c>
      <c r="D1002" t="s">
        <v>1121</v>
      </c>
      <c r="E1002" t="s">
        <v>666</v>
      </c>
      <c r="F1002" t="s">
        <v>63</v>
      </c>
      <c r="G1002" t="s">
        <v>1119</v>
      </c>
    </row>
    <row r="1003" spans="1:7" x14ac:dyDescent="0.3">
      <c r="A1003" t="s">
        <v>1321</v>
      </c>
      <c r="B1003" t="s">
        <v>27</v>
      </c>
      <c r="C1003" t="s">
        <v>34</v>
      </c>
      <c r="D1003" t="s">
        <v>1118</v>
      </c>
      <c r="E1003" t="s">
        <v>332</v>
      </c>
      <c r="F1003" t="s">
        <v>542</v>
      </c>
      <c r="G1003" t="s">
        <v>1119</v>
      </c>
    </row>
    <row r="1004" spans="1:7" x14ac:dyDescent="0.3">
      <c r="A1004" t="s">
        <v>1345</v>
      </c>
      <c r="B1004" t="s">
        <v>49</v>
      </c>
      <c r="C1004" t="s">
        <v>52</v>
      </c>
      <c r="D1004" t="s">
        <v>1121</v>
      </c>
      <c r="E1004" t="s">
        <v>1219</v>
      </c>
      <c r="F1004" t="s">
        <v>1091</v>
      </c>
      <c r="G1004" t="s">
        <v>1120</v>
      </c>
    </row>
    <row r="1005" spans="1:7" x14ac:dyDescent="0.3">
      <c r="A1005" t="s">
        <v>1387</v>
      </c>
      <c r="B1005" t="s">
        <v>60</v>
      </c>
      <c r="C1005" t="s">
        <v>64</v>
      </c>
      <c r="D1005" t="s">
        <v>1123</v>
      </c>
      <c r="E1005" t="s">
        <v>1092</v>
      </c>
      <c r="F1005" t="s">
        <v>614</v>
      </c>
      <c r="G1005" t="s">
        <v>1123</v>
      </c>
    </row>
    <row r="1006" spans="1:7" x14ac:dyDescent="0.3">
      <c r="A1006" t="s">
        <v>1519</v>
      </c>
      <c r="B1006" t="s">
        <v>76</v>
      </c>
      <c r="C1006" t="s">
        <v>80</v>
      </c>
      <c r="D1006" t="s">
        <v>700</v>
      </c>
      <c r="E1006" t="s">
        <v>157</v>
      </c>
      <c r="F1006" t="s">
        <v>1093</v>
      </c>
      <c r="G1006" t="s">
        <v>1119</v>
      </c>
    </row>
    <row r="1007" spans="1:7" x14ac:dyDescent="0.3">
      <c r="A1007" t="s">
        <v>1498</v>
      </c>
      <c r="B1007" t="s">
        <v>790</v>
      </c>
      <c r="C1007" t="s">
        <v>80</v>
      </c>
      <c r="D1007" t="s">
        <v>1118</v>
      </c>
      <c r="E1007" t="s">
        <v>137</v>
      </c>
      <c r="F1007" t="s">
        <v>737</v>
      </c>
      <c r="G1007" t="s">
        <v>1118</v>
      </c>
    </row>
    <row r="1008" spans="1:7" x14ac:dyDescent="0.3">
      <c r="A1008" t="s">
        <v>1425</v>
      </c>
      <c r="B1008" t="s">
        <v>76</v>
      </c>
      <c r="C1008" t="s">
        <v>84</v>
      </c>
      <c r="D1008" t="s">
        <v>1123</v>
      </c>
      <c r="E1008" t="s">
        <v>415</v>
      </c>
      <c r="F1008" t="s">
        <v>1213</v>
      </c>
      <c r="G1008" t="s">
        <v>1119</v>
      </c>
    </row>
    <row r="1009" spans="1:7" x14ac:dyDescent="0.3">
      <c r="A1009" t="s">
        <v>1480</v>
      </c>
      <c r="B1009" t="s">
        <v>89</v>
      </c>
      <c r="C1009" t="s">
        <v>131</v>
      </c>
      <c r="D1009" t="s">
        <v>1123</v>
      </c>
      <c r="E1009" t="s">
        <v>94</v>
      </c>
      <c r="F1009" t="s">
        <v>1094</v>
      </c>
      <c r="G1009" t="s">
        <v>1122</v>
      </c>
    </row>
    <row r="1010" spans="1:7" x14ac:dyDescent="0.3">
      <c r="A1010" t="s">
        <v>1484</v>
      </c>
      <c r="B1010" t="s">
        <v>49</v>
      </c>
      <c r="C1010" t="s">
        <v>50</v>
      </c>
      <c r="D1010" t="s">
        <v>1121</v>
      </c>
      <c r="E1010" t="s">
        <v>1219</v>
      </c>
      <c r="F1010" t="s">
        <v>1095</v>
      </c>
      <c r="G1010" t="s">
        <v>1121</v>
      </c>
    </row>
    <row r="1011" spans="1:7" x14ac:dyDescent="0.3">
      <c r="A1011" t="s">
        <v>1584</v>
      </c>
      <c r="B1011" t="s">
        <v>76</v>
      </c>
      <c r="C1011" t="s">
        <v>84</v>
      </c>
      <c r="D1011" t="s">
        <v>1118</v>
      </c>
      <c r="E1011" t="s">
        <v>29</v>
      </c>
      <c r="F1011" t="s">
        <v>936</v>
      </c>
      <c r="G1011" t="s">
        <v>1119</v>
      </c>
    </row>
    <row r="1012" spans="1:7" x14ac:dyDescent="0.3">
      <c r="A1012" t="s">
        <v>1486</v>
      </c>
      <c r="B1012" t="s">
        <v>76</v>
      </c>
      <c r="C1012" t="s">
        <v>77</v>
      </c>
      <c r="D1012" t="s">
        <v>1118</v>
      </c>
      <c r="E1012" t="s">
        <v>937</v>
      </c>
      <c r="F1012" t="s">
        <v>1096</v>
      </c>
      <c r="G1012" t="s">
        <v>1122</v>
      </c>
    </row>
    <row r="1013" spans="1:7" x14ac:dyDescent="0.3">
      <c r="A1013" t="s">
        <v>1320</v>
      </c>
      <c r="B1013" t="s">
        <v>27</v>
      </c>
      <c r="C1013" t="s">
        <v>28</v>
      </c>
      <c r="D1013" t="s">
        <v>1120</v>
      </c>
      <c r="E1013" t="s">
        <v>595</v>
      </c>
      <c r="F1013" t="s">
        <v>408</v>
      </c>
      <c r="G1013" t="s">
        <v>1122</v>
      </c>
    </row>
    <row r="1014" spans="1:7" x14ac:dyDescent="0.3">
      <c r="A1014" t="s">
        <v>1458</v>
      </c>
      <c r="B1014" t="s">
        <v>108</v>
      </c>
      <c r="C1014" t="s">
        <v>208</v>
      </c>
      <c r="D1014" t="s">
        <v>1121</v>
      </c>
      <c r="E1014" t="s">
        <v>1186</v>
      </c>
      <c r="F1014" t="s">
        <v>1097</v>
      </c>
      <c r="G1014" t="s">
        <v>1122</v>
      </c>
    </row>
    <row r="1015" spans="1:7" x14ac:dyDescent="0.3">
      <c r="A1015" t="s">
        <v>1423</v>
      </c>
      <c r="B1015" t="s">
        <v>27</v>
      </c>
      <c r="C1015" t="s">
        <v>38</v>
      </c>
      <c r="D1015" t="s">
        <v>1121</v>
      </c>
      <c r="E1015" t="s">
        <v>638</v>
      </c>
      <c r="F1015" t="s">
        <v>1098</v>
      </c>
      <c r="G1015" t="s">
        <v>1121</v>
      </c>
    </row>
    <row r="1016" spans="1:7" x14ac:dyDescent="0.3">
      <c r="A1016" t="s">
        <v>1313</v>
      </c>
      <c r="B1016" t="s">
        <v>93</v>
      </c>
      <c r="C1016" t="s">
        <v>101</v>
      </c>
      <c r="D1016" t="s">
        <v>1118</v>
      </c>
      <c r="E1016" t="s">
        <v>1099</v>
      </c>
      <c r="F1016" t="s">
        <v>1100</v>
      </c>
      <c r="G1016" t="s">
        <v>1120</v>
      </c>
    </row>
    <row r="1017" spans="1:7" x14ac:dyDescent="0.3">
      <c r="A1017" t="s">
        <v>1645</v>
      </c>
      <c r="B1017" t="s">
        <v>60</v>
      </c>
      <c r="C1017" t="s">
        <v>69</v>
      </c>
      <c r="D1017" t="s">
        <v>1121</v>
      </c>
      <c r="E1017" t="s">
        <v>1101</v>
      </c>
      <c r="F1017" t="s">
        <v>823</v>
      </c>
      <c r="G1017" t="s">
        <v>1121</v>
      </c>
    </row>
    <row r="1018" spans="1:7" x14ac:dyDescent="0.3">
      <c r="A1018" t="s">
        <v>1450</v>
      </c>
      <c r="B1018" t="s">
        <v>93</v>
      </c>
      <c r="C1018" t="s">
        <v>101</v>
      </c>
      <c r="D1018" t="s">
        <v>1121</v>
      </c>
      <c r="E1018" t="s">
        <v>130</v>
      </c>
      <c r="F1018" t="s">
        <v>1053</v>
      </c>
      <c r="G1018" t="s">
        <v>1119</v>
      </c>
    </row>
    <row r="1019" spans="1:7" x14ac:dyDescent="0.3">
      <c r="A1019" t="s">
        <v>1411</v>
      </c>
      <c r="B1019" t="s">
        <v>41</v>
      </c>
      <c r="C1019" t="s">
        <v>42</v>
      </c>
      <c r="D1019" t="s">
        <v>700</v>
      </c>
      <c r="E1019" t="s">
        <v>1102</v>
      </c>
      <c r="F1019" t="s">
        <v>1103</v>
      </c>
      <c r="G1019" t="s">
        <v>1118</v>
      </c>
    </row>
    <row r="1020" spans="1:7" x14ac:dyDescent="0.3">
      <c r="A1020" t="s">
        <v>1646</v>
      </c>
      <c r="B1020" t="s">
        <v>76</v>
      </c>
      <c r="C1020" t="s">
        <v>80</v>
      </c>
      <c r="D1020" t="s">
        <v>700</v>
      </c>
      <c r="E1020" t="s">
        <v>1287</v>
      </c>
      <c r="F1020" t="s">
        <v>66</v>
      </c>
      <c r="G1020" t="s">
        <v>1119</v>
      </c>
    </row>
    <row r="1021" spans="1:7" x14ac:dyDescent="0.3">
      <c r="A1021" t="s">
        <v>1468</v>
      </c>
      <c r="B1021" t="s">
        <v>60</v>
      </c>
      <c r="C1021" t="s">
        <v>64</v>
      </c>
      <c r="D1021" t="s">
        <v>1123</v>
      </c>
      <c r="E1021" t="s">
        <v>153</v>
      </c>
      <c r="F1021" t="s">
        <v>1201</v>
      </c>
      <c r="G1021" t="s">
        <v>1121</v>
      </c>
    </row>
    <row r="1022" spans="1:7" x14ac:dyDescent="0.3">
      <c r="A1022" t="s">
        <v>1629</v>
      </c>
      <c r="B1022" t="s">
        <v>41</v>
      </c>
      <c r="C1022" t="s">
        <v>46</v>
      </c>
      <c r="D1022" t="s">
        <v>1121</v>
      </c>
      <c r="E1022" t="s">
        <v>984</v>
      </c>
      <c r="F1022" t="s">
        <v>1104</v>
      </c>
      <c r="G1022" t="s">
        <v>1122</v>
      </c>
    </row>
    <row r="1023" spans="1:7" x14ac:dyDescent="0.3">
      <c r="A1023" t="s">
        <v>1645</v>
      </c>
      <c r="B1023" t="s">
        <v>93</v>
      </c>
      <c r="C1023" t="s">
        <v>57</v>
      </c>
      <c r="D1023" t="s">
        <v>1121</v>
      </c>
      <c r="E1023" t="s">
        <v>602</v>
      </c>
      <c r="F1023" t="s">
        <v>1105</v>
      </c>
      <c r="G1023" t="s">
        <v>1118</v>
      </c>
    </row>
    <row r="1024" spans="1:7" x14ac:dyDescent="0.3">
      <c r="A1024" t="s">
        <v>1420</v>
      </c>
      <c r="B1024" t="s">
        <v>41</v>
      </c>
      <c r="C1024" t="s">
        <v>42</v>
      </c>
      <c r="D1024" t="s">
        <v>1118</v>
      </c>
      <c r="E1024" t="s">
        <v>179</v>
      </c>
      <c r="F1024" t="s">
        <v>1053</v>
      </c>
      <c r="G1024" t="s">
        <v>1122</v>
      </c>
    </row>
    <row r="1025" spans="1:7" x14ac:dyDescent="0.3">
      <c r="A1025" t="s">
        <v>1401</v>
      </c>
      <c r="B1025" t="s">
        <v>27</v>
      </c>
      <c r="C1025" t="s">
        <v>38</v>
      </c>
      <c r="D1025" t="s">
        <v>700</v>
      </c>
      <c r="E1025" t="s">
        <v>891</v>
      </c>
      <c r="F1025" t="s">
        <v>818</v>
      </c>
      <c r="G1025" t="s">
        <v>1119</v>
      </c>
    </row>
    <row r="1026" spans="1:7" x14ac:dyDescent="0.3">
      <c r="A1026" t="s">
        <v>1422</v>
      </c>
      <c r="B1026" t="s">
        <v>76</v>
      </c>
      <c r="C1026" t="s">
        <v>84</v>
      </c>
      <c r="D1026" t="s">
        <v>700</v>
      </c>
      <c r="E1026" t="s">
        <v>274</v>
      </c>
      <c r="F1026" t="s">
        <v>1106</v>
      </c>
      <c r="G1026" t="s">
        <v>1119</v>
      </c>
    </row>
    <row r="1027" spans="1:7" x14ac:dyDescent="0.3">
      <c r="A1027" t="s">
        <v>1336</v>
      </c>
      <c r="B1027" t="s">
        <v>49</v>
      </c>
      <c r="C1027" t="s">
        <v>52</v>
      </c>
      <c r="D1027" t="s">
        <v>1118</v>
      </c>
      <c r="E1027" t="s">
        <v>106</v>
      </c>
      <c r="F1027" t="s">
        <v>1288</v>
      </c>
      <c r="G1027" t="s">
        <v>1122</v>
      </c>
    </row>
    <row r="1028" spans="1:7" x14ac:dyDescent="0.3">
      <c r="A1028" t="s">
        <v>1307</v>
      </c>
      <c r="B1028" t="s">
        <v>27</v>
      </c>
      <c r="C1028" t="s">
        <v>38</v>
      </c>
      <c r="D1028" t="s">
        <v>700</v>
      </c>
      <c r="E1028" t="s">
        <v>563</v>
      </c>
      <c r="F1028" t="s">
        <v>1107</v>
      </c>
      <c r="G1028" t="s">
        <v>1121</v>
      </c>
    </row>
    <row r="1029" spans="1:7" x14ac:dyDescent="0.3">
      <c r="A1029" t="s">
        <v>1607</v>
      </c>
      <c r="B1029" t="s">
        <v>850</v>
      </c>
      <c r="C1029" t="s">
        <v>90</v>
      </c>
      <c r="D1029" t="s">
        <v>700</v>
      </c>
      <c r="E1029" t="s">
        <v>709</v>
      </c>
      <c r="F1029" t="s">
        <v>851</v>
      </c>
      <c r="G1029" t="s">
        <v>1119</v>
      </c>
    </row>
    <row r="1030" spans="1:7" x14ac:dyDescent="0.3">
      <c r="A1030" t="s">
        <v>1312</v>
      </c>
      <c r="B1030" t="s">
        <v>76</v>
      </c>
      <c r="C1030" t="s">
        <v>80</v>
      </c>
      <c r="D1030" t="s">
        <v>700</v>
      </c>
      <c r="E1030" t="s">
        <v>132</v>
      </c>
      <c r="F1030" t="s">
        <v>1108</v>
      </c>
      <c r="G1030" t="s">
        <v>1119</v>
      </c>
    </row>
    <row r="1031" spans="1:7" x14ac:dyDescent="0.3">
      <c r="A1031" t="s">
        <v>1643</v>
      </c>
      <c r="B1031" t="s">
        <v>60</v>
      </c>
      <c r="C1031" t="s">
        <v>64</v>
      </c>
      <c r="D1031" t="s">
        <v>700</v>
      </c>
      <c r="E1031" t="s">
        <v>267</v>
      </c>
      <c r="F1031" t="s">
        <v>66</v>
      </c>
      <c r="G1031" t="s">
        <v>1121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C2D6-6ABE-4EA8-B377-370B07DFB3C1}">
  <dimension ref="A1:C9"/>
  <sheetViews>
    <sheetView workbookViewId="0">
      <selection activeCell="C4" sqref="C4"/>
    </sheetView>
  </sheetViews>
  <sheetFormatPr defaultRowHeight="14.4" x14ac:dyDescent="0.3"/>
  <cols>
    <col min="1" max="1" width="8.09765625" bestFit="1" customWidth="1"/>
    <col min="2" max="2" width="11.5" bestFit="1" customWidth="1"/>
    <col min="3" max="3" width="11.59765625" bestFit="1" customWidth="1"/>
  </cols>
  <sheetData>
    <row r="1" spans="1:3" x14ac:dyDescent="0.3">
      <c r="A1" t="s">
        <v>21</v>
      </c>
      <c r="B1" t="s">
        <v>1674</v>
      </c>
      <c r="C1" t="s">
        <v>1675</v>
      </c>
    </row>
    <row r="2" spans="1:3" x14ac:dyDescent="0.3">
      <c r="A2" t="s">
        <v>76</v>
      </c>
      <c r="B2" t="s">
        <v>1676</v>
      </c>
      <c r="C2">
        <v>313000</v>
      </c>
    </row>
    <row r="3" spans="1:3" x14ac:dyDescent="0.3">
      <c r="A3" t="s">
        <v>108</v>
      </c>
      <c r="B3" t="s">
        <v>1677</v>
      </c>
      <c r="C3">
        <v>503000</v>
      </c>
    </row>
    <row r="4" spans="1:3" x14ac:dyDescent="0.3">
      <c r="A4" t="s">
        <v>27</v>
      </c>
      <c r="B4" t="s">
        <v>1678</v>
      </c>
      <c r="C4">
        <v>1288000</v>
      </c>
    </row>
    <row r="5" spans="1:3" x14ac:dyDescent="0.3">
      <c r="A5" t="s">
        <v>60</v>
      </c>
      <c r="B5" t="s">
        <v>1679</v>
      </c>
      <c r="C5">
        <v>535000</v>
      </c>
    </row>
    <row r="6" spans="1:3" x14ac:dyDescent="0.3">
      <c r="A6" t="s">
        <v>89</v>
      </c>
      <c r="B6" t="s">
        <v>1680</v>
      </c>
      <c r="C6">
        <v>200000</v>
      </c>
    </row>
    <row r="7" spans="1:3" x14ac:dyDescent="0.3">
      <c r="A7" t="s">
        <v>41</v>
      </c>
      <c r="B7" t="s">
        <v>1681</v>
      </c>
      <c r="C7">
        <v>633000</v>
      </c>
    </row>
    <row r="8" spans="1:3" x14ac:dyDescent="0.3">
      <c r="A8" t="s">
        <v>93</v>
      </c>
      <c r="B8" t="s">
        <v>1682</v>
      </c>
      <c r="C8">
        <v>181000</v>
      </c>
    </row>
    <row r="9" spans="1:3" x14ac:dyDescent="0.3">
      <c r="A9" t="s">
        <v>49</v>
      </c>
      <c r="B9" t="s">
        <v>1683</v>
      </c>
      <c r="C9">
        <v>241000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0034-F09F-4CFF-AA0C-832912F099B8}">
  <dimension ref="A1:L1002"/>
  <sheetViews>
    <sheetView workbookViewId="0">
      <selection activeCell="M4" sqref="M4"/>
    </sheetView>
  </sheetViews>
  <sheetFormatPr defaultRowHeight="14.4" x14ac:dyDescent="0.3"/>
  <cols>
    <col min="1" max="1" width="10.296875" style="2" bestFit="1" customWidth="1"/>
    <col min="2" max="2" width="8.09765625" bestFit="1" customWidth="1"/>
    <col min="3" max="3" width="9.3984375" bestFit="1" customWidth="1"/>
    <col min="4" max="4" width="6.8984375" bestFit="1" customWidth="1"/>
    <col min="5" max="5" width="9.69921875" bestFit="1" customWidth="1"/>
    <col min="6" max="6" width="13.19921875" bestFit="1" customWidth="1"/>
    <col min="7" max="7" width="15.296875" bestFit="1" customWidth="1"/>
    <col min="8" max="8" width="8.3984375" bestFit="1" customWidth="1"/>
    <col min="9" max="9" width="13.5" bestFit="1" customWidth="1"/>
    <col min="10" max="10" width="15.3984375" bestFit="1" customWidth="1"/>
    <col min="11" max="11" width="12.5" customWidth="1"/>
    <col min="12" max="12" width="11" customWidth="1"/>
  </cols>
  <sheetData>
    <row r="1" spans="1:12" x14ac:dyDescent="0.3">
      <c r="A1" s="2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1658</v>
      </c>
      <c r="I1" t="s">
        <v>1659</v>
      </c>
      <c r="J1" t="s">
        <v>1672</v>
      </c>
      <c r="K1" t="s">
        <v>1674</v>
      </c>
      <c r="L1" t="s">
        <v>1675</v>
      </c>
    </row>
    <row r="2" spans="1:12" x14ac:dyDescent="0.3">
      <c r="A2" s="2">
        <v>45679</v>
      </c>
      <c r="B2" t="s">
        <v>27</v>
      </c>
      <c r="C2" t="s">
        <v>28</v>
      </c>
      <c r="D2">
        <v>2</v>
      </c>
      <c r="F2">
        <v>72.2</v>
      </c>
      <c r="G2">
        <v>2</v>
      </c>
      <c r="H2">
        <v>1</v>
      </c>
      <c r="I2" t="s">
        <v>1660</v>
      </c>
      <c r="K2" t="str">
        <f>_xlfn.XLOOKUP(B2,zones_lookup!A:A,zones_lookup!B:B,"Not found")</f>
        <v>Mr. Bello</v>
      </c>
      <c r="L2">
        <f>_xlfn.XLOOKUP(B2,zones_lookup!A:A,zones_lookup!C:C,"Not found")</f>
        <v>1288000</v>
      </c>
    </row>
    <row r="3" spans="1:12" x14ac:dyDescent="0.3">
      <c r="A3" s="2">
        <v>45847</v>
      </c>
      <c r="B3" t="s">
        <v>41</v>
      </c>
      <c r="C3" t="s">
        <v>42</v>
      </c>
      <c r="D3">
        <v>3</v>
      </c>
      <c r="E3">
        <v>21.9</v>
      </c>
      <c r="F3">
        <v>96</v>
      </c>
      <c r="G3">
        <v>1</v>
      </c>
      <c r="H3">
        <v>7</v>
      </c>
      <c r="I3" t="s">
        <v>1661</v>
      </c>
      <c r="J3">
        <v>7.3</v>
      </c>
      <c r="K3" t="str">
        <f>_xlfn.XLOOKUP(B3,zones_lookup!A:A,zones_lookup!B:B,"Not found")</f>
        <v>Mrs. Adisa</v>
      </c>
      <c r="L3">
        <f>_xlfn.XLOOKUP(B3,zones_lookup!A:A,zones_lookup!C:C,"Not found")</f>
        <v>633000</v>
      </c>
    </row>
    <row r="4" spans="1:12" x14ac:dyDescent="0.3">
      <c r="A4" s="2">
        <v>45726</v>
      </c>
      <c r="B4" t="s">
        <v>49</v>
      </c>
      <c r="C4" t="s">
        <v>50</v>
      </c>
      <c r="D4">
        <v>4</v>
      </c>
      <c r="E4">
        <v>18.600000000000001</v>
      </c>
      <c r="F4">
        <v>154</v>
      </c>
      <c r="G4">
        <v>2</v>
      </c>
      <c r="H4">
        <v>3</v>
      </c>
      <c r="I4" t="s">
        <v>1662</v>
      </c>
      <c r="J4">
        <v>4.6500000000000004</v>
      </c>
      <c r="K4" t="str">
        <f>_xlfn.XLOOKUP(B4,zones_lookup!A:A,zones_lookup!B:B,"Not found")</f>
        <v>Mrs. Johnson</v>
      </c>
      <c r="L4">
        <f>_xlfn.XLOOKUP(B4,zones_lookup!A:A,zones_lookup!C:C,"Not found")</f>
        <v>241000</v>
      </c>
    </row>
    <row r="5" spans="1:12" x14ac:dyDescent="0.3">
      <c r="A5" s="2">
        <v>45802</v>
      </c>
      <c r="B5" t="s">
        <v>27</v>
      </c>
      <c r="C5" t="s">
        <v>31</v>
      </c>
      <c r="D5">
        <v>2</v>
      </c>
      <c r="E5">
        <v>15.3</v>
      </c>
      <c r="F5">
        <v>72.7</v>
      </c>
      <c r="G5">
        <v>0</v>
      </c>
      <c r="H5">
        <v>5</v>
      </c>
      <c r="I5" t="s">
        <v>1663</v>
      </c>
      <c r="J5">
        <v>7.65</v>
      </c>
      <c r="K5" t="str">
        <f>_xlfn.XLOOKUP(B5,zones_lookup!A:A,zones_lookup!B:B,"Not found")</f>
        <v>Mr. Bello</v>
      </c>
      <c r="L5">
        <f>_xlfn.XLOOKUP(B5,zones_lookup!A:A,zones_lookup!C:C,"Not found")</f>
        <v>1288000</v>
      </c>
    </row>
    <row r="6" spans="1:12" x14ac:dyDescent="0.3">
      <c r="A6" s="2">
        <v>45963</v>
      </c>
      <c r="B6" t="s">
        <v>93</v>
      </c>
      <c r="C6" t="s">
        <v>57</v>
      </c>
      <c r="D6">
        <v>2</v>
      </c>
      <c r="E6">
        <v>8.1999999999999993</v>
      </c>
      <c r="F6">
        <v>83.6</v>
      </c>
      <c r="G6">
        <v>1</v>
      </c>
      <c r="H6">
        <v>11</v>
      </c>
      <c r="I6" t="s">
        <v>1664</v>
      </c>
      <c r="J6">
        <v>4.0999999999999996</v>
      </c>
      <c r="K6" t="str">
        <f>_xlfn.XLOOKUP(B6,zones_lookup!A:A,zones_lookup!B:B,"Not found")</f>
        <v>Mr. Ogunleye</v>
      </c>
      <c r="L6">
        <f>_xlfn.XLOOKUP(B6,zones_lookup!A:A,zones_lookup!C:C,"Not found")</f>
        <v>181000</v>
      </c>
    </row>
    <row r="7" spans="1:12" x14ac:dyDescent="0.3">
      <c r="A7" s="2">
        <v>45692</v>
      </c>
      <c r="B7" t="s">
        <v>60</v>
      </c>
      <c r="C7" t="s">
        <v>61</v>
      </c>
      <c r="D7">
        <v>2</v>
      </c>
      <c r="E7">
        <v>7.6</v>
      </c>
      <c r="F7">
        <v>91.4</v>
      </c>
      <c r="G7">
        <v>1</v>
      </c>
      <c r="H7">
        <v>2</v>
      </c>
      <c r="I7" t="s">
        <v>1665</v>
      </c>
      <c r="J7">
        <v>3.8</v>
      </c>
      <c r="K7" t="str">
        <f>_xlfn.XLOOKUP(B7,zones_lookup!A:A,zones_lookup!B:B,"Not found")</f>
        <v>Mrs. Eze</v>
      </c>
      <c r="L7">
        <f>_xlfn.XLOOKUP(B7,zones_lookup!A:A,zones_lookup!C:C,"Not found")</f>
        <v>535000</v>
      </c>
    </row>
    <row r="8" spans="1:12" x14ac:dyDescent="0.3">
      <c r="A8" s="2">
        <v>45878</v>
      </c>
      <c r="B8" t="s">
        <v>41</v>
      </c>
      <c r="C8" t="s">
        <v>73</v>
      </c>
      <c r="D8">
        <v>3</v>
      </c>
      <c r="E8">
        <v>18.399999999999999</v>
      </c>
      <c r="F8">
        <v>139.6</v>
      </c>
      <c r="G8">
        <v>2</v>
      </c>
      <c r="H8">
        <v>8</v>
      </c>
      <c r="I8" t="s">
        <v>1666</v>
      </c>
      <c r="J8">
        <v>6.1333333333333329</v>
      </c>
      <c r="K8" t="str">
        <f>_xlfn.XLOOKUP(B8,zones_lookup!A:A,zones_lookup!B:B,"Not found")</f>
        <v>Mrs. Adisa</v>
      </c>
      <c r="L8">
        <f>_xlfn.XLOOKUP(B8,zones_lookup!A:A,zones_lookup!C:C,"Not found")</f>
        <v>633000</v>
      </c>
    </row>
    <row r="9" spans="1:12" x14ac:dyDescent="0.3">
      <c r="A9" s="2">
        <v>45865</v>
      </c>
      <c r="B9" t="s">
        <v>76</v>
      </c>
      <c r="C9" t="s">
        <v>77</v>
      </c>
      <c r="D9">
        <v>6</v>
      </c>
      <c r="E9">
        <v>42.5</v>
      </c>
      <c r="F9">
        <v>245.3</v>
      </c>
      <c r="G9">
        <v>1</v>
      </c>
      <c r="H9">
        <v>7</v>
      </c>
      <c r="I9" t="s">
        <v>1661</v>
      </c>
      <c r="J9">
        <v>7.083333333333333</v>
      </c>
      <c r="K9" t="str">
        <f>_xlfn.XLOOKUP(B9,zones_lookup!A:A,zones_lookup!B:B,"Not found")</f>
        <v>Mr. Adeyemi</v>
      </c>
      <c r="L9">
        <f>_xlfn.XLOOKUP(B9,zones_lookup!A:A,zones_lookup!C:C,"Not found")</f>
        <v>313000</v>
      </c>
    </row>
    <row r="10" spans="1:12" x14ac:dyDescent="0.3">
      <c r="A10" s="2">
        <v>45825</v>
      </c>
      <c r="B10" t="s">
        <v>89</v>
      </c>
      <c r="C10" t="s">
        <v>90</v>
      </c>
      <c r="D10">
        <v>4</v>
      </c>
      <c r="E10">
        <v>20.5</v>
      </c>
      <c r="F10">
        <v>181.9</v>
      </c>
      <c r="G10">
        <v>2</v>
      </c>
      <c r="H10">
        <v>6</v>
      </c>
      <c r="I10" t="s">
        <v>1667</v>
      </c>
      <c r="J10">
        <v>5.125</v>
      </c>
      <c r="K10" t="str">
        <f>_xlfn.XLOOKUP(B10,zones_lookup!A:A,zones_lookup!B:B,"Not found")</f>
        <v>Mr. Salami</v>
      </c>
      <c r="L10">
        <f>_xlfn.XLOOKUP(B10,zones_lookup!A:A,zones_lookup!C:C,"Not found")</f>
        <v>200000</v>
      </c>
    </row>
    <row r="11" spans="1:12" x14ac:dyDescent="0.3">
      <c r="A11" s="2">
        <v>45720</v>
      </c>
      <c r="B11" t="s">
        <v>49</v>
      </c>
      <c r="C11" t="s">
        <v>52</v>
      </c>
      <c r="D11">
        <v>2</v>
      </c>
      <c r="E11">
        <v>7.5</v>
      </c>
      <c r="F11">
        <v>65</v>
      </c>
      <c r="G11">
        <v>2</v>
      </c>
      <c r="H11">
        <v>3</v>
      </c>
      <c r="I11" t="s">
        <v>1662</v>
      </c>
      <c r="J11">
        <v>3.75</v>
      </c>
      <c r="K11" t="str">
        <f>_xlfn.XLOOKUP(B11,zones_lookup!A:A,zones_lookup!B:B,"Not found")</f>
        <v>Mrs. Johnson</v>
      </c>
      <c r="L11">
        <f>_xlfn.XLOOKUP(B11,zones_lookup!A:A,zones_lookup!C:C,"Not found")</f>
        <v>241000</v>
      </c>
    </row>
    <row r="12" spans="1:12" x14ac:dyDescent="0.3">
      <c r="A12" s="2">
        <v>45815</v>
      </c>
      <c r="B12" t="s">
        <v>76</v>
      </c>
      <c r="C12" t="s">
        <v>80</v>
      </c>
      <c r="D12">
        <v>3</v>
      </c>
      <c r="E12">
        <v>20.100000000000001</v>
      </c>
      <c r="F12">
        <v>117.5</v>
      </c>
      <c r="G12">
        <v>1</v>
      </c>
      <c r="H12">
        <v>6</v>
      </c>
      <c r="I12" t="s">
        <v>1667</v>
      </c>
      <c r="J12">
        <v>6.7</v>
      </c>
      <c r="K12" t="str">
        <f>_xlfn.XLOOKUP(B12,zones_lookup!A:A,zones_lookup!B:B,"Not found")</f>
        <v>Mr. Adeyemi</v>
      </c>
      <c r="L12">
        <f>_xlfn.XLOOKUP(B12,zones_lookup!A:A,zones_lookup!C:C,"Not found")</f>
        <v>313000</v>
      </c>
    </row>
    <row r="13" spans="1:12" x14ac:dyDescent="0.3">
      <c r="A13" s="2">
        <v>45758</v>
      </c>
      <c r="B13" t="s">
        <v>93</v>
      </c>
      <c r="C13" t="s">
        <v>57</v>
      </c>
      <c r="D13">
        <v>6</v>
      </c>
      <c r="E13">
        <v>22.9</v>
      </c>
      <c r="F13">
        <v>255.3</v>
      </c>
      <c r="G13">
        <v>2</v>
      </c>
      <c r="H13">
        <v>4</v>
      </c>
      <c r="I13" t="s">
        <v>1668</v>
      </c>
      <c r="J13">
        <v>3.8166666666666664</v>
      </c>
      <c r="K13" t="str">
        <f>_xlfn.XLOOKUP(B13,zones_lookup!A:A,zones_lookup!B:B,"Not found")</f>
        <v>Mr. Ogunleye</v>
      </c>
      <c r="L13">
        <f>_xlfn.XLOOKUP(B13,zones_lookup!A:A,zones_lookup!C:C,"Not found")</f>
        <v>181000</v>
      </c>
    </row>
    <row r="14" spans="1:12" x14ac:dyDescent="0.3">
      <c r="A14" s="2">
        <v>45810</v>
      </c>
      <c r="B14" t="s">
        <v>41</v>
      </c>
      <c r="C14" t="s">
        <v>42</v>
      </c>
      <c r="D14">
        <v>5</v>
      </c>
      <c r="E14">
        <v>33.9</v>
      </c>
      <c r="F14">
        <v>169.5</v>
      </c>
      <c r="G14">
        <v>1</v>
      </c>
      <c r="H14">
        <v>6</v>
      </c>
      <c r="I14" t="s">
        <v>1667</v>
      </c>
      <c r="J14">
        <v>6.7799999999999994</v>
      </c>
      <c r="K14" t="str">
        <f>_xlfn.XLOOKUP(B14,zones_lookup!A:A,zones_lookup!B:B,"Not found")</f>
        <v>Mrs. Adisa</v>
      </c>
      <c r="L14">
        <f>_xlfn.XLOOKUP(B14,zones_lookup!A:A,zones_lookup!C:C,"Not found")</f>
        <v>633000</v>
      </c>
    </row>
    <row r="15" spans="1:12" x14ac:dyDescent="0.3">
      <c r="A15" s="2">
        <v>45725</v>
      </c>
      <c r="B15" t="s">
        <v>27</v>
      </c>
      <c r="C15" t="s">
        <v>34</v>
      </c>
      <c r="D15">
        <v>4</v>
      </c>
      <c r="E15">
        <v>28.7</v>
      </c>
      <c r="F15">
        <v>140.30000000000001</v>
      </c>
      <c r="G15">
        <v>2</v>
      </c>
      <c r="H15">
        <v>3</v>
      </c>
      <c r="I15" t="s">
        <v>1662</v>
      </c>
      <c r="J15">
        <v>7.1749999999999998</v>
      </c>
      <c r="K15" t="str">
        <f>_xlfn.XLOOKUP(B15,zones_lookup!A:A,zones_lookup!B:B,"Not found")</f>
        <v>Mr. Bello</v>
      </c>
      <c r="L15">
        <f>_xlfn.XLOOKUP(B15,zones_lookup!A:A,zones_lookup!C:C,"Not found")</f>
        <v>1288000</v>
      </c>
    </row>
    <row r="16" spans="1:12" x14ac:dyDescent="0.3">
      <c r="A16" s="2">
        <v>45709</v>
      </c>
      <c r="B16" t="s">
        <v>76</v>
      </c>
      <c r="C16" t="s">
        <v>80</v>
      </c>
      <c r="D16">
        <v>4</v>
      </c>
      <c r="F16">
        <v>186.5</v>
      </c>
      <c r="G16">
        <v>1</v>
      </c>
      <c r="H16">
        <v>2</v>
      </c>
      <c r="I16" t="s">
        <v>1665</v>
      </c>
      <c r="K16" t="str">
        <f>_xlfn.XLOOKUP(B16,zones_lookup!A:A,zones_lookup!B:B,"Not found")</f>
        <v>Mr. Adeyemi</v>
      </c>
      <c r="L16">
        <f>_xlfn.XLOOKUP(B16,zones_lookup!A:A,zones_lookup!C:C,"Not found")</f>
        <v>313000</v>
      </c>
    </row>
    <row r="17" spans="1:12" x14ac:dyDescent="0.3">
      <c r="A17" s="2">
        <v>45991</v>
      </c>
      <c r="B17" t="s">
        <v>41</v>
      </c>
      <c r="C17" t="s">
        <v>46</v>
      </c>
      <c r="D17">
        <v>2</v>
      </c>
      <c r="E17">
        <v>17.5</v>
      </c>
      <c r="F17">
        <v>76.3</v>
      </c>
      <c r="G17">
        <v>1</v>
      </c>
      <c r="H17">
        <v>11</v>
      </c>
      <c r="I17" t="s">
        <v>1664</v>
      </c>
      <c r="J17">
        <v>8.75</v>
      </c>
      <c r="K17" t="str">
        <f>_xlfn.XLOOKUP(B17,zones_lookup!A:A,zones_lookup!B:B,"Not found")</f>
        <v>Mrs. Adisa</v>
      </c>
      <c r="L17">
        <f>_xlfn.XLOOKUP(B17,zones_lookup!A:A,zones_lookup!C:C,"Not found")</f>
        <v>633000</v>
      </c>
    </row>
    <row r="18" spans="1:12" x14ac:dyDescent="0.3">
      <c r="A18" s="2">
        <v>45983</v>
      </c>
      <c r="B18" t="s">
        <v>108</v>
      </c>
      <c r="C18" t="s">
        <v>109</v>
      </c>
      <c r="D18">
        <v>3</v>
      </c>
      <c r="E18">
        <v>20.399999999999999</v>
      </c>
      <c r="F18">
        <v>131</v>
      </c>
      <c r="G18">
        <v>0</v>
      </c>
      <c r="H18">
        <v>11</v>
      </c>
      <c r="I18" t="s">
        <v>1664</v>
      </c>
      <c r="J18">
        <v>6.8</v>
      </c>
      <c r="K18" t="str">
        <f>_xlfn.XLOOKUP(B18,zones_lookup!A:A,zones_lookup!B:B,"Not found")</f>
        <v>Mrs. Okafor</v>
      </c>
      <c r="L18">
        <f>_xlfn.XLOOKUP(B18,zones_lookup!A:A,zones_lookup!C:C,"Not found")</f>
        <v>503000</v>
      </c>
    </row>
    <row r="19" spans="1:12" x14ac:dyDescent="0.3">
      <c r="A19" s="2">
        <v>45842</v>
      </c>
      <c r="B19" t="s">
        <v>49</v>
      </c>
      <c r="C19" t="s">
        <v>52</v>
      </c>
      <c r="D19">
        <v>4</v>
      </c>
      <c r="E19">
        <v>17.2</v>
      </c>
      <c r="F19">
        <v>193.3</v>
      </c>
      <c r="G19">
        <v>1</v>
      </c>
      <c r="H19">
        <v>7</v>
      </c>
      <c r="I19" t="s">
        <v>1661</v>
      </c>
      <c r="J19">
        <v>4.3</v>
      </c>
      <c r="K19" t="str">
        <f>_xlfn.XLOOKUP(B19,zones_lookup!A:A,zones_lookup!B:B,"Not found")</f>
        <v>Mrs. Johnson</v>
      </c>
      <c r="L19">
        <f>_xlfn.XLOOKUP(B19,zones_lookup!A:A,zones_lookup!C:C,"Not found")</f>
        <v>241000</v>
      </c>
    </row>
    <row r="20" spans="1:12" x14ac:dyDescent="0.3">
      <c r="A20" s="2">
        <v>45714</v>
      </c>
      <c r="B20" t="s">
        <v>60</v>
      </c>
      <c r="C20" t="s">
        <v>64</v>
      </c>
      <c r="D20">
        <v>5</v>
      </c>
      <c r="E20">
        <v>20.7</v>
      </c>
      <c r="G20">
        <v>2</v>
      </c>
      <c r="H20">
        <v>2</v>
      </c>
      <c r="I20" t="s">
        <v>1665</v>
      </c>
      <c r="J20">
        <v>4.1399999999999997</v>
      </c>
      <c r="K20" t="str">
        <f>_xlfn.XLOOKUP(B20,zones_lookup!A:A,zones_lookup!B:B,"Not found")</f>
        <v>Mrs. Eze</v>
      </c>
      <c r="L20">
        <f>_xlfn.XLOOKUP(B20,zones_lookup!A:A,zones_lookup!C:C,"Not found")</f>
        <v>535000</v>
      </c>
    </row>
    <row r="21" spans="1:12" x14ac:dyDescent="0.3">
      <c r="A21" s="2">
        <v>45973</v>
      </c>
      <c r="B21" t="s">
        <v>60</v>
      </c>
      <c r="C21" t="s">
        <v>64</v>
      </c>
      <c r="D21">
        <v>5</v>
      </c>
      <c r="E21">
        <v>24.3</v>
      </c>
      <c r="F21">
        <v>172.7</v>
      </c>
      <c r="G21">
        <v>2</v>
      </c>
      <c r="H21">
        <v>11</v>
      </c>
      <c r="I21" t="s">
        <v>1664</v>
      </c>
      <c r="J21">
        <v>4.8600000000000003</v>
      </c>
      <c r="K21" t="str">
        <f>_xlfn.XLOOKUP(B21,zones_lookup!A:A,zones_lookup!B:B,"Not found")</f>
        <v>Mrs. Eze</v>
      </c>
      <c r="L21">
        <f>_xlfn.XLOOKUP(B21,zones_lookup!A:A,zones_lookup!C:C,"Not found")</f>
        <v>535000</v>
      </c>
    </row>
    <row r="22" spans="1:12" x14ac:dyDescent="0.3">
      <c r="A22" s="2">
        <v>45810</v>
      </c>
      <c r="B22" t="s">
        <v>93</v>
      </c>
      <c r="C22" t="s">
        <v>57</v>
      </c>
      <c r="D22">
        <v>2</v>
      </c>
      <c r="E22">
        <v>6.8</v>
      </c>
      <c r="F22">
        <v>80.2</v>
      </c>
      <c r="G22">
        <v>2</v>
      </c>
      <c r="H22">
        <v>6</v>
      </c>
      <c r="I22" t="s">
        <v>1667</v>
      </c>
      <c r="J22">
        <v>3.4</v>
      </c>
      <c r="K22" t="str">
        <f>_xlfn.XLOOKUP(B22,zones_lookup!A:A,zones_lookup!B:B,"Not found")</f>
        <v>Mr. Ogunleye</v>
      </c>
      <c r="L22">
        <f>_xlfn.XLOOKUP(B22,zones_lookup!A:A,zones_lookup!C:C,"Not found")</f>
        <v>181000</v>
      </c>
    </row>
    <row r="23" spans="1:12" x14ac:dyDescent="0.3">
      <c r="A23" s="2">
        <v>45801</v>
      </c>
      <c r="B23" t="s">
        <v>60</v>
      </c>
      <c r="C23" t="s">
        <v>69</v>
      </c>
      <c r="D23">
        <v>4</v>
      </c>
      <c r="E23">
        <v>16.899999999999999</v>
      </c>
      <c r="F23">
        <v>152.69999999999999</v>
      </c>
      <c r="G23">
        <v>3</v>
      </c>
      <c r="H23">
        <v>5</v>
      </c>
      <c r="I23" t="s">
        <v>1663</v>
      </c>
      <c r="J23">
        <v>4.2249999999999996</v>
      </c>
      <c r="K23" t="str">
        <f>_xlfn.XLOOKUP(B23,zones_lookup!A:A,zones_lookup!B:B,"Not found")</f>
        <v>Mrs. Eze</v>
      </c>
      <c r="L23">
        <f>_xlfn.XLOOKUP(B23,zones_lookup!A:A,zones_lookup!C:C,"Not found")</f>
        <v>535000</v>
      </c>
    </row>
    <row r="24" spans="1:12" x14ac:dyDescent="0.3">
      <c r="A24" s="2">
        <v>45817</v>
      </c>
      <c r="B24" t="s">
        <v>27</v>
      </c>
      <c r="C24" t="s">
        <v>28</v>
      </c>
      <c r="D24">
        <v>6</v>
      </c>
      <c r="E24">
        <v>39</v>
      </c>
      <c r="F24">
        <v>207.4</v>
      </c>
      <c r="G24">
        <v>3</v>
      </c>
      <c r="H24">
        <v>6</v>
      </c>
      <c r="I24" t="s">
        <v>1667</v>
      </c>
      <c r="J24">
        <v>6.5</v>
      </c>
      <c r="K24" t="str">
        <f>_xlfn.XLOOKUP(B24,zones_lookup!A:A,zones_lookup!B:B,"Not found")</f>
        <v>Mr. Bello</v>
      </c>
      <c r="L24">
        <f>_xlfn.XLOOKUP(B24,zones_lookup!A:A,zones_lookup!C:C,"Not found")</f>
        <v>1288000</v>
      </c>
    </row>
    <row r="25" spans="1:12" x14ac:dyDescent="0.3">
      <c r="A25" s="2">
        <v>45666</v>
      </c>
      <c r="B25" t="s">
        <v>27</v>
      </c>
      <c r="C25" t="s">
        <v>38</v>
      </c>
      <c r="D25">
        <v>2</v>
      </c>
      <c r="E25">
        <v>12.3</v>
      </c>
      <c r="F25">
        <v>80.900000000000006</v>
      </c>
      <c r="G25">
        <v>0</v>
      </c>
      <c r="H25">
        <v>1</v>
      </c>
      <c r="I25" t="s">
        <v>1660</v>
      </c>
      <c r="J25">
        <v>6.15</v>
      </c>
      <c r="K25" t="str">
        <f>_xlfn.XLOOKUP(B25,zones_lookup!A:A,zones_lookup!B:B,"Not found")</f>
        <v>Mr. Bello</v>
      </c>
      <c r="L25">
        <f>_xlfn.XLOOKUP(B25,zones_lookup!A:A,zones_lookup!C:C,"Not found")</f>
        <v>1288000</v>
      </c>
    </row>
    <row r="26" spans="1:12" x14ac:dyDescent="0.3">
      <c r="A26" s="2">
        <v>45982</v>
      </c>
      <c r="B26" t="s">
        <v>93</v>
      </c>
      <c r="C26" t="s">
        <v>57</v>
      </c>
      <c r="D26">
        <v>2</v>
      </c>
      <c r="E26">
        <v>9</v>
      </c>
      <c r="F26">
        <v>73.400000000000006</v>
      </c>
      <c r="G26">
        <v>0</v>
      </c>
      <c r="H26">
        <v>11</v>
      </c>
      <c r="I26" t="s">
        <v>1664</v>
      </c>
      <c r="J26">
        <v>4.5</v>
      </c>
      <c r="K26" t="str">
        <f>_xlfn.XLOOKUP(B26,zones_lookup!A:A,zones_lookup!B:B,"Not found")</f>
        <v>Mr. Ogunleye</v>
      </c>
      <c r="L26">
        <f>_xlfn.XLOOKUP(B26,zones_lookup!A:A,zones_lookup!C:C,"Not found")</f>
        <v>181000</v>
      </c>
    </row>
    <row r="27" spans="1:12" x14ac:dyDescent="0.3">
      <c r="A27" s="2">
        <v>45716</v>
      </c>
      <c r="B27" t="s">
        <v>93</v>
      </c>
      <c r="C27" t="s">
        <v>57</v>
      </c>
      <c r="D27">
        <v>3</v>
      </c>
      <c r="E27">
        <v>9.1999999999999993</v>
      </c>
      <c r="F27">
        <v>115.3</v>
      </c>
      <c r="G27">
        <v>2</v>
      </c>
      <c r="H27">
        <v>2</v>
      </c>
      <c r="I27" t="s">
        <v>1665</v>
      </c>
      <c r="J27">
        <v>3.0666666666666664</v>
      </c>
      <c r="K27" t="str">
        <f>_xlfn.XLOOKUP(B27,zones_lookup!A:A,zones_lookup!B:B,"Not found")</f>
        <v>Mr. Ogunleye</v>
      </c>
      <c r="L27">
        <f>_xlfn.XLOOKUP(B27,zones_lookup!A:A,zones_lookup!C:C,"Not found")</f>
        <v>181000</v>
      </c>
    </row>
    <row r="28" spans="1:12" x14ac:dyDescent="0.3">
      <c r="A28" s="2">
        <v>45680</v>
      </c>
      <c r="B28" t="s">
        <v>93</v>
      </c>
      <c r="C28" t="s">
        <v>101</v>
      </c>
      <c r="D28">
        <v>6</v>
      </c>
      <c r="E28">
        <v>19.2</v>
      </c>
      <c r="F28">
        <v>244.8</v>
      </c>
      <c r="G28">
        <v>2</v>
      </c>
      <c r="H28">
        <v>1</v>
      </c>
      <c r="I28" t="s">
        <v>1660</v>
      </c>
      <c r="J28">
        <v>3.1999999999999997</v>
      </c>
      <c r="K28" t="str">
        <f>_xlfn.XLOOKUP(B28,zones_lookup!A:A,zones_lookup!B:B,"Not found")</f>
        <v>Mr. Ogunleye</v>
      </c>
      <c r="L28">
        <f>_xlfn.XLOOKUP(B28,zones_lookup!A:A,zones_lookup!C:C,"Not found")</f>
        <v>181000</v>
      </c>
    </row>
    <row r="29" spans="1:12" x14ac:dyDescent="0.3">
      <c r="A29" s="2">
        <v>45713</v>
      </c>
      <c r="B29" t="s">
        <v>76</v>
      </c>
      <c r="C29" t="s">
        <v>84</v>
      </c>
      <c r="D29">
        <v>5</v>
      </c>
      <c r="E29">
        <v>32.1</v>
      </c>
      <c r="F29">
        <v>174.3</v>
      </c>
      <c r="G29">
        <v>6</v>
      </c>
      <c r="H29">
        <v>2</v>
      </c>
      <c r="I29" t="s">
        <v>1665</v>
      </c>
      <c r="J29">
        <v>6.42</v>
      </c>
      <c r="K29" t="str">
        <f>_xlfn.XLOOKUP(B29,zones_lookup!A:A,zones_lookup!B:B,"Not found")</f>
        <v>Mr. Adeyemi</v>
      </c>
      <c r="L29">
        <f>_xlfn.XLOOKUP(B29,zones_lookup!A:A,zones_lookup!C:C,"Not found")</f>
        <v>313000</v>
      </c>
    </row>
    <row r="30" spans="1:12" x14ac:dyDescent="0.3">
      <c r="A30" s="2">
        <v>45942</v>
      </c>
      <c r="B30" t="s">
        <v>60</v>
      </c>
      <c r="C30" t="s">
        <v>61</v>
      </c>
      <c r="D30">
        <v>5</v>
      </c>
      <c r="E30">
        <v>21.1</v>
      </c>
      <c r="F30">
        <v>192</v>
      </c>
      <c r="G30">
        <v>1</v>
      </c>
      <c r="H30">
        <v>10</v>
      </c>
      <c r="I30" t="s">
        <v>1669</v>
      </c>
      <c r="J30">
        <v>4.2200000000000006</v>
      </c>
      <c r="K30" t="str">
        <f>_xlfn.XLOOKUP(B30,zones_lookup!A:A,zones_lookup!B:B,"Not found")</f>
        <v>Mrs. Eze</v>
      </c>
      <c r="L30">
        <f>_xlfn.XLOOKUP(B30,zones_lookup!A:A,zones_lookup!C:C,"Not found")</f>
        <v>535000</v>
      </c>
    </row>
    <row r="31" spans="1:12" x14ac:dyDescent="0.3">
      <c r="A31" s="2">
        <v>45959</v>
      </c>
      <c r="B31" t="s">
        <v>27</v>
      </c>
      <c r="C31" t="s">
        <v>34</v>
      </c>
      <c r="D31">
        <v>4</v>
      </c>
      <c r="E31">
        <v>24.5</v>
      </c>
      <c r="F31">
        <v>167.4</v>
      </c>
      <c r="G31">
        <v>1</v>
      </c>
      <c r="H31">
        <v>10</v>
      </c>
      <c r="I31" t="s">
        <v>1669</v>
      </c>
      <c r="J31">
        <v>6.125</v>
      </c>
      <c r="K31" t="str">
        <f>_xlfn.XLOOKUP(B31,zones_lookup!A:A,zones_lookup!B:B,"Not found")</f>
        <v>Mr. Bello</v>
      </c>
      <c r="L31">
        <f>_xlfn.XLOOKUP(B31,zones_lookup!A:A,zones_lookup!C:C,"Not found")</f>
        <v>1288000</v>
      </c>
    </row>
    <row r="32" spans="1:12" x14ac:dyDescent="0.3">
      <c r="A32" s="2">
        <v>45917</v>
      </c>
      <c r="B32" t="s">
        <v>49</v>
      </c>
      <c r="C32" t="s">
        <v>52</v>
      </c>
      <c r="D32">
        <v>2</v>
      </c>
      <c r="E32">
        <v>8</v>
      </c>
      <c r="F32">
        <v>74.900000000000006</v>
      </c>
      <c r="G32">
        <v>4</v>
      </c>
      <c r="H32">
        <v>9</v>
      </c>
      <c r="I32" t="s">
        <v>1670</v>
      </c>
      <c r="J32">
        <v>4</v>
      </c>
      <c r="K32" t="str">
        <f>_xlfn.XLOOKUP(B32,zones_lookup!A:A,zones_lookup!B:B,"Not found")</f>
        <v>Mrs. Johnson</v>
      </c>
      <c r="L32">
        <f>_xlfn.XLOOKUP(B32,zones_lookup!A:A,zones_lookup!C:C,"Not found")</f>
        <v>241000</v>
      </c>
    </row>
    <row r="33" spans="1:12" x14ac:dyDescent="0.3">
      <c r="A33" s="2">
        <v>45720</v>
      </c>
      <c r="B33" t="s">
        <v>93</v>
      </c>
      <c r="C33" t="s">
        <v>101</v>
      </c>
      <c r="D33">
        <v>5</v>
      </c>
      <c r="E33">
        <v>19.899999999999999</v>
      </c>
      <c r="G33">
        <v>2</v>
      </c>
      <c r="H33">
        <v>3</v>
      </c>
      <c r="I33" t="s">
        <v>1662</v>
      </c>
      <c r="J33">
        <v>3.9799999999999995</v>
      </c>
      <c r="K33" t="str">
        <f>_xlfn.XLOOKUP(B33,zones_lookup!A:A,zones_lookup!B:B,"Not found")</f>
        <v>Mr. Ogunleye</v>
      </c>
      <c r="L33">
        <f>_xlfn.XLOOKUP(B33,zones_lookup!A:A,zones_lookup!C:C,"Not found")</f>
        <v>181000</v>
      </c>
    </row>
    <row r="34" spans="1:12" x14ac:dyDescent="0.3">
      <c r="A34" s="2">
        <v>45925</v>
      </c>
      <c r="B34" t="s">
        <v>93</v>
      </c>
      <c r="C34" t="s">
        <v>57</v>
      </c>
      <c r="D34">
        <v>2</v>
      </c>
      <c r="E34">
        <v>7.9</v>
      </c>
      <c r="F34">
        <v>90.2</v>
      </c>
      <c r="G34">
        <v>1</v>
      </c>
      <c r="H34">
        <v>9</v>
      </c>
      <c r="I34" t="s">
        <v>1670</v>
      </c>
      <c r="J34">
        <v>3.95</v>
      </c>
      <c r="K34" t="str">
        <f>_xlfn.XLOOKUP(B34,zones_lookup!A:A,zones_lookup!B:B,"Not found")</f>
        <v>Mr. Ogunleye</v>
      </c>
      <c r="L34">
        <f>_xlfn.XLOOKUP(B34,zones_lookup!A:A,zones_lookup!C:C,"Not found")</f>
        <v>181000</v>
      </c>
    </row>
    <row r="35" spans="1:12" x14ac:dyDescent="0.3">
      <c r="A35" s="2">
        <v>45731</v>
      </c>
      <c r="B35" t="s">
        <v>76</v>
      </c>
      <c r="C35" t="s">
        <v>77</v>
      </c>
      <c r="D35">
        <v>4</v>
      </c>
      <c r="E35">
        <v>25.4</v>
      </c>
      <c r="F35">
        <v>175.4</v>
      </c>
      <c r="G35">
        <v>0</v>
      </c>
      <c r="H35">
        <v>3</v>
      </c>
      <c r="I35" t="s">
        <v>1662</v>
      </c>
      <c r="J35">
        <v>6.35</v>
      </c>
      <c r="K35" t="str">
        <f>_xlfn.XLOOKUP(B35,zones_lookup!A:A,zones_lookup!B:B,"Not found")</f>
        <v>Mr. Adeyemi</v>
      </c>
      <c r="L35">
        <f>_xlfn.XLOOKUP(B35,zones_lookup!A:A,zones_lookup!C:C,"Not found")</f>
        <v>313000</v>
      </c>
    </row>
    <row r="36" spans="1:12" x14ac:dyDescent="0.3">
      <c r="A36" s="2">
        <v>45777</v>
      </c>
      <c r="B36" t="s">
        <v>27</v>
      </c>
      <c r="C36" t="s">
        <v>28</v>
      </c>
      <c r="D36">
        <v>3</v>
      </c>
      <c r="E36">
        <v>22.5</v>
      </c>
      <c r="F36">
        <v>119.1</v>
      </c>
      <c r="G36">
        <v>0</v>
      </c>
      <c r="H36">
        <v>4</v>
      </c>
      <c r="I36" t="s">
        <v>1668</v>
      </c>
      <c r="J36">
        <v>7.5</v>
      </c>
      <c r="K36" t="str">
        <f>_xlfn.XLOOKUP(B36,zones_lookup!A:A,zones_lookup!B:B,"Not found")</f>
        <v>Mr. Bello</v>
      </c>
      <c r="L36">
        <f>_xlfn.XLOOKUP(B36,zones_lookup!A:A,zones_lookup!C:C,"Not found")</f>
        <v>1288000</v>
      </c>
    </row>
    <row r="37" spans="1:12" x14ac:dyDescent="0.3">
      <c r="A37" s="2">
        <v>45775</v>
      </c>
      <c r="B37" t="s">
        <v>60</v>
      </c>
      <c r="C37" t="s">
        <v>61</v>
      </c>
      <c r="D37">
        <v>5</v>
      </c>
      <c r="F37">
        <v>187.6</v>
      </c>
      <c r="G37">
        <v>1</v>
      </c>
      <c r="H37">
        <v>4</v>
      </c>
      <c r="I37" t="s">
        <v>1668</v>
      </c>
      <c r="K37" t="str">
        <f>_xlfn.XLOOKUP(B37,zones_lookup!A:A,zones_lookup!B:B,"Not found")</f>
        <v>Mrs. Eze</v>
      </c>
      <c r="L37">
        <f>_xlfn.XLOOKUP(B37,zones_lookup!A:A,zones_lookup!C:C,"Not found")</f>
        <v>535000</v>
      </c>
    </row>
    <row r="38" spans="1:12" x14ac:dyDescent="0.3">
      <c r="A38" s="2">
        <v>45665</v>
      </c>
      <c r="B38" t="s">
        <v>27</v>
      </c>
      <c r="C38" t="s">
        <v>31</v>
      </c>
      <c r="D38">
        <v>6</v>
      </c>
      <c r="E38">
        <v>50.7</v>
      </c>
      <c r="F38">
        <v>213</v>
      </c>
      <c r="G38">
        <v>1</v>
      </c>
      <c r="H38">
        <v>1</v>
      </c>
      <c r="I38" t="s">
        <v>1660</v>
      </c>
      <c r="J38">
        <v>8.4500000000000011</v>
      </c>
      <c r="K38" t="str">
        <f>_xlfn.XLOOKUP(B38,zones_lookup!A:A,zones_lookup!B:B,"Not found")</f>
        <v>Mr. Bello</v>
      </c>
      <c r="L38">
        <f>_xlfn.XLOOKUP(B38,zones_lookup!A:A,zones_lookup!C:C,"Not found")</f>
        <v>1288000</v>
      </c>
    </row>
    <row r="39" spans="1:12" x14ac:dyDescent="0.3">
      <c r="A39" s="2">
        <v>45688</v>
      </c>
      <c r="B39" t="s">
        <v>41</v>
      </c>
      <c r="C39" t="s">
        <v>73</v>
      </c>
      <c r="D39">
        <v>5</v>
      </c>
      <c r="E39">
        <v>27.9</v>
      </c>
      <c r="F39">
        <v>207.5</v>
      </c>
      <c r="G39">
        <v>1</v>
      </c>
      <c r="H39">
        <v>1</v>
      </c>
      <c r="I39" t="s">
        <v>1660</v>
      </c>
      <c r="J39">
        <v>5.58</v>
      </c>
      <c r="K39" t="str">
        <f>_xlfn.XLOOKUP(B39,zones_lookup!A:A,zones_lookup!B:B,"Not found")</f>
        <v>Mrs. Adisa</v>
      </c>
      <c r="L39">
        <f>_xlfn.XLOOKUP(B39,zones_lookup!A:A,zones_lookup!C:C,"Not found")</f>
        <v>633000</v>
      </c>
    </row>
    <row r="40" spans="1:12" x14ac:dyDescent="0.3">
      <c r="A40" s="2">
        <v>45697</v>
      </c>
      <c r="B40" t="s">
        <v>27</v>
      </c>
      <c r="C40" t="s">
        <v>34</v>
      </c>
      <c r="D40">
        <v>5</v>
      </c>
      <c r="E40">
        <v>34</v>
      </c>
      <c r="F40">
        <v>234.2</v>
      </c>
      <c r="G40">
        <v>1</v>
      </c>
      <c r="H40">
        <v>2</v>
      </c>
      <c r="I40" t="s">
        <v>1665</v>
      </c>
      <c r="J40">
        <v>6.8</v>
      </c>
      <c r="K40" t="str">
        <f>_xlfn.XLOOKUP(B40,zones_lookup!A:A,zones_lookup!B:B,"Not found")</f>
        <v>Mr. Bello</v>
      </c>
      <c r="L40">
        <f>_xlfn.XLOOKUP(B40,zones_lookup!A:A,zones_lookup!C:C,"Not found")</f>
        <v>1288000</v>
      </c>
    </row>
    <row r="41" spans="1:12" x14ac:dyDescent="0.3">
      <c r="A41" s="2">
        <v>45712</v>
      </c>
      <c r="B41" t="s">
        <v>60</v>
      </c>
      <c r="C41" t="s">
        <v>69</v>
      </c>
      <c r="D41">
        <v>3</v>
      </c>
      <c r="E41">
        <v>11</v>
      </c>
      <c r="F41">
        <v>135.6</v>
      </c>
      <c r="G41">
        <v>3</v>
      </c>
      <c r="H41">
        <v>2</v>
      </c>
      <c r="I41" t="s">
        <v>1665</v>
      </c>
      <c r="J41">
        <v>3.6666666666666665</v>
      </c>
      <c r="K41" t="str">
        <f>_xlfn.XLOOKUP(B41,zones_lookup!A:A,zones_lookup!B:B,"Not found")</f>
        <v>Mrs. Eze</v>
      </c>
      <c r="L41">
        <f>_xlfn.XLOOKUP(B41,zones_lookup!A:A,zones_lookup!C:C,"Not found")</f>
        <v>535000</v>
      </c>
    </row>
    <row r="42" spans="1:12" x14ac:dyDescent="0.3">
      <c r="A42" s="2">
        <v>45727</v>
      </c>
      <c r="B42" t="s">
        <v>27</v>
      </c>
      <c r="C42" t="s">
        <v>28</v>
      </c>
      <c r="D42">
        <v>4</v>
      </c>
      <c r="E42">
        <v>29</v>
      </c>
      <c r="F42">
        <v>161.6</v>
      </c>
      <c r="G42">
        <v>0</v>
      </c>
      <c r="H42">
        <v>3</v>
      </c>
      <c r="I42" t="s">
        <v>1662</v>
      </c>
      <c r="J42">
        <v>7.25</v>
      </c>
      <c r="K42" t="str">
        <f>_xlfn.XLOOKUP(B42,zones_lookup!A:A,zones_lookup!B:B,"Not found")</f>
        <v>Mr. Bello</v>
      </c>
      <c r="L42">
        <f>_xlfn.XLOOKUP(B42,zones_lookup!A:A,zones_lookup!C:C,"Not found")</f>
        <v>1288000</v>
      </c>
    </row>
    <row r="43" spans="1:12" x14ac:dyDescent="0.3">
      <c r="A43" s="2">
        <v>46009</v>
      </c>
      <c r="B43" t="s">
        <v>49</v>
      </c>
      <c r="C43" t="s">
        <v>52</v>
      </c>
      <c r="D43">
        <v>3</v>
      </c>
      <c r="E43">
        <v>10.4</v>
      </c>
      <c r="F43">
        <v>106.8</v>
      </c>
      <c r="G43">
        <v>7</v>
      </c>
      <c r="H43">
        <v>12</v>
      </c>
      <c r="I43" t="s">
        <v>1671</v>
      </c>
      <c r="J43">
        <v>3.4666666666666668</v>
      </c>
      <c r="K43" t="str">
        <f>_xlfn.XLOOKUP(B43,zones_lookup!A:A,zones_lookup!B:B,"Not found")</f>
        <v>Mrs. Johnson</v>
      </c>
      <c r="L43">
        <f>_xlfn.XLOOKUP(B43,zones_lookup!A:A,zones_lookup!C:C,"Not found")</f>
        <v>241000</v>
      </c>
    </row>
    <row r="44" spans="1:12" x14ac:dyDescent="0.3">
      <c r="A44" s="2">
        <v>45782</v>
      </c>
      <c r="B44" t="s">
        <v>76</v>
      </c>
      <c r="C44" t="s">
        <v>77</v>
      </c>
      <c r="D44">
        <v>2</v>
      </c>
      <c r="E44">
        <v>13.8</v>
      </c>
      <c r="F44">
        <v>73.400000000000006</v>
      </c>
      <c r="H44">
        <v>5</v>
      </c>
      <c r="I44" t="s">
        <v>1663</v>
      </c>
      <c r="J44">
        <v>6.9</v>
      </c>
      <c r="K44" t="str">
        <f>_xlfn.XLOOKUP(B44,zones_lookup!A:A,zones_lookup!B:B,"Not found")</f>
        <v>Mr. Adeyemi</v>
      </c>
      <c r="L44">
        <f>_xlfn.XLOOKUP(B44,zones_lookup!A:A,zones_lookup!C:C,"Not found")</f>
        <v>313000</v>
      </c>
    </row>
    <row r="45" spans="1:12" x14ac:dyDescent="0.3">
      <c r="A45" s="2">
        <v>45837</v>
      </c>
      <c r="B45" t="s">
        <v>89</v>
      </c>
      <c r="C45" t="s">
        <v>131</v>
      </c>
      <c r="D45">
        <v>3</v>
      </c>
      <c r="E45">
        <v>18.600000000000001</v>
      </c>
      <c r="F45">
        <v>115.3</v>
      </c>
      <c r="G45">
        <v>1</v>
      </c>
      <c r="H45">
        <v>6</v>
      </c>
      <c r="I45" t="s">
        <v>1667</v>
      </c>
      <c r="J45">
        <v>6.2</v>
      </c>
      <c r="K45" t="str">
        <f>_xlfn.XLOOKUP(B45,zones_lookup!A:A,zones_lookup!B:B,"Not found")</f>
        <v>Mr. Salami</v>
      </c>
      <c r="L45">
        <f>_xlfn.XLOOKUP(B45,zones_lookup!A:A,zones_lookup!C:C,"Not found")</f>
        <v>200000</v>
      </c>
    </row>
    <row r="46" spans="1:12" x14ac:dyDescent="0.3">
      <c r="A46" s="2">
        <v>46000</v>
      </c>
      <c r="B46" t="s">
        <v>41</v>
      </c>
      <c r="C46" t="s">
        <v>73</v>
      </c>
      <c r="D46">
        <v>5</v>
      </c>
      <c r="E46">
        <v>42.7</v>
      </c>
      <c r="F46">
        <v>146.5</v>
      </c>
      <c r="G46">
        <v>2</v>
      </c>
      <c r="H46">
        <v>12</v>
      </c>
      <c r="I46" t="s">
        <v>1671</v>
      </c>
      <c r="J46">
        <v>8.5400000000000009</v>
      </c>
      <c r="K46" t="str">
        <f>_xlfn.XLOOKUP(B46,zones_lookup!A:A,zones_lookup!B:B,"Not found")</f>
        <v>Mrs. Adisa</v>
      </c>
      <c r="L46">
        <f>_xlfn.XLOOKUP(B46,zones_lookup!A:A,zones_lookup!C:C,"Not found")</f>
        <v>633000</v>
      </c>
    </row>
    <row r="47" spans="1:12" x14ac:dyDescent="0.3">
      <c r="A47" s="2">
        <v>45726</v>
      </c>
      <c r="B47" t="s">
        <v>49</v>
      </c>
      <c r="C47" t="s">
        <v>50</v>
      </c>
      <c r="D47">
        <v>6</v>
      </c>
      <c r="E47">
        <v>18.899999999999999</v>
      </c>
      <c r="F47">
        <v>160.6</v>
      </c>
      <c r="G47">
        <v>2</v>
      </c>
      <c r="H47">
        <v>3</v>
      </c>
      <c r="I47" t="s">
        <v>1662</v>
      </c>
      <c r="J47">
        <v>3.15</v>
      </c>
      <c r="K47" t="str">
        <f>_xlfn.XLOOKUP(B47,zones_lookup!A:A,zones_lookup!B:B,"Not found")</f>
        <v>Mrs. Johnson</v>
      </c>
      <c r="L47">
        <f>_xlfn.XLOOKUP(B47,zones_lookup!A:A,zones_lookup!C:C,"Not found")</f>
        <v>241000</v>
      </c>
    </row>
    <row r="48" spans="1:12" x14ac:dyDescent="0.3">
      <c r="A48" s="2">
        <v>45788</v>
      </c>
      <c r="B48" t="s">
        <v>76</v>
      </c>
      <c r="C48" t="s">
        <v>84</v>
      </c>
      <c r="D48">
        <v>3</v>
      </c>
      <c r="E48">
        <v>19.8</v>
      </c>
      <c r="F48">
        <v>126.7</v>
      </c>
      <c r="G48">
        <v>1</v>
      </c>
      <c r="H48">
        <v>5</v>
      </c>
      <c r="I48" t="s">
        <v>1663</v>
      </c>
      <c r="J48">
        <v>6.6000000000000005</v>
      </c>
      <c r="K48" t="str">
        <f>_xlfn.XLOOKUP(B48,zones_lookup!A:A,zones_lookup!B:B,"Not found")</f>
        <v>Mr. Adeyemi</v>
      </c>
      <c r="L48">
        <f>_xlfn.XLOOKUP(B48,zones_lookup!A:A,zones_lookup!C:C,"Not found")</f>
        <v>313000</v>
      </c>
    </row>
    <row r="49" spans="1:12" x14ac:dyDescent="0.3">
      <c r="A49" s="2">
        <v>45767</v>
      </c>
      <c r="B49" t="s">
        <v>108</v>
      </c>
      <c r="C49" t="s">
        <v>109</v>
      </c>
      <c r="D49">
        <v>4</v>
      </c>
      <c r="E49">
        <v>29.5</v>
      </c>
      <c r="F49">
        <v>144.4</v>
      </c>
      <c r="G49">
        <v>3</v>
      </c>
      <c r="H49">
        <v>4</v>
      </c>
      <c r="I49" t="s">
        <v>1668</v>
      </c>
      <c r="J49">
        <v>7.375</v>
      </c>
      <c r="K49" t="str">
        <f>_xlfn.XLOOKUP(B49,zones_lookup!A:A,zones_lookup!B:B,"Not found")</f>
        <v>Mrs. Okafor</v>
      </c>
      <c r="L49">
        <f>_xlfn.XLOOKUP(B49,zones_lookup!A:A,zones_lookup!C:C,"Not found")</f>
        <v>503000</v>
      </c>
    </row>
    <row r="50" spans="1:12" x14ac:dyDescent="0.3">
      <c r="A50" s="2">
        <v>45820</v>
      </c>
      <c r="B50" t="s">
        <v>93</v>
      </c>
      <c r="C50" t="s">
        <v>57</v>
      </c>
      <c r="D50">
        <v>6</v>
      </c>
      <c r="E50">
        <v>16.8</v>
      </c>
      <c r="F50">
        <v>253.9</v>
      </c>
      <c r="G50">
        <v>1</v>
      </c>
      <c r="H50">
        <v>6</v>
      </c>
      <c r="I50" t="s">
        <v>1667</v>
      </c>
      <c r="J50">
        <v>2.8000000000000003</v>
      </c>
      <c r="K50" t="str">
        <f>_xlfn.XLOOKUP(B50,zones_lookup!A:A,zones_lookup!B:B,"Not found")</f>
        <v>Mr. Ogunleye</v>
      </c>
      <c r="L50">
        <f>_xlfn.XLOOKUP(B50,zones_lookup!A:A,zones_lookup!C:C,"Not found")</f>
        <v>181000</v>
      </c>
    </row>
    <row r="51" spans="1:12" x14ac:dyDescent="0.3">
      <c r="A51" s="2">
        <v>45992</v>
      </c>
      <c r="B51" t="s">
        <v>89</v>
      </c>
      <c r="C51" t="s">
        <v>131</v>
      </c>
      <c r="D51">
        <v>6</v>
      </c>
      <c r="E51">
        <v>37.200000000000003</v>
      </c>
      <c r="F51">
        <v>206.2</v>
      </c>
      <c r="G51">
        <v>2</v>
      </c>
      <c r="H51">
        <v>12</v>
      </c>
      <c r="I51" t="s">
        <v>1671</v>
      </c>
      <c r="J51">
        <v>6.2</v>
      </c>
      <c r="K51" t="str">
        <f>_xlfn.XLOOKUP(B51,zones_lookup!A:A,zones_lookup!B:B,"Not found")</f>
        <v>Mr. Salami</v>
      </c>
      <c r="L51">
        <f>_xlfn.XLOOKUP(B51,zones_lookup!A:A,zones_lookup!C:C,"Not found")</f>
        <v>200000</v>
      </c>
    </row>
    <row r="52" spans="1:12" x14ac:dyDescent="0.3">
      <c r="A52" s="2">
        <v>45698</v>
      </c>
      <c r="B52" t="s">
        <v>89</v>
      </c>
      <c r="C52" t="s">
        <v>90</v>
      </c>
      <c r="D52">
        <v>2</v>
      </c>
      <c r="E52">
        <v>9.8000000000000007</v>
      </c>
      <c r="F52">
        <v>93.1</v>
      </c>
      <c r="G52">
        <v>0</v>
      </c>
      <c r="H52">
        <v>2</v>
      </c>
      <c r="I52" t="s">
        <v>1665</v>
      </c>
      <c r="J52">
        <v>4.9000000000000004</v>
      </c>
      <c r="K52" t="str">
        <f>_xlfn.XLOOKUP(B52,zones_lookup!A:A,zones_lookup!B:B,"Not found")</f>
        <v>Mr. Salami</v>
      </c>
      <c r="L52">
        <f>_xlfn.XLOOKUP(B52,zones_lookup!A:A,zones_lookup!C:C,"Not found")</f>
        <v>200000</v>
      </c>
    </row>
    <row r="53" spans="1:12" x14ac:dyDescent="0.3">
      <c r="A53" s="2">
        <v>45669</v>
      </c>
      <c r="B53" t="s">
        <v>60</v>
      </c>
      <c r="C53" t="s">
        <v>61</v>
      </c>
      <c r="D53">
        <v>5</v>
      </c>
      <c r="E53">
        <v>17.2</v>
      </c>
      <c r="F53">
        <v>209.2</v>
      </c>
      <c r="G53">
        <v>1</v>
      </c>
      <c r="H53">
        <v>1</v>
      </c>
      <c r="I53" t="s">
        <v>1660</v>
      </c>
      <c r="J53">
        <v>3.44</v>
      </c>
      <c r="K53" t="str">
        <f>_xlfn.XLOOKUP(B53,zones_lookup!A:A,zones_lookup!B:B,"Not found")</f>
        <v>Mrs. Eze</v>
      </c>
      <c r="L53">
        <f>_xlfn.XLOOKUP(B53,zones_lookup!A:A,zones_lookup!C:C,"Not found")</f>
        <v>535000</v>
      </c>
    </row>
    <row r="54" spans="1:12" x14ac:dyDescent="0.3">
      <c r="A54" s="2">
        <v>46015</v>
      </c>
      <c r="B54" t="s">
        <v>93</v>
      </c>
      <c r="C54" t="s">
        <v>57</v>
      </c>
      <c r="D54">
        <v>3</v>
      </c>
      <c r="E54">
        <v>14.2</v>
      </c>
      <c r="F54">
        <v>118.9</v>
      </c>
      <c r="G54">
        <v>1</v>
      </c>
      <c r="H54">
        <v>12</v>
      </c>
      <c r="I54" t="s">
        <v>1671</v>
      </c>
      <c r="J54">
        <v>4.7333333333333334</v>
      </c>
      <c r="K54" t="str">
        <f>_xlfn.XLOOKUP(B54,zones_lookup!A:A,zones_lookup!B:B,"Not found")</f>
        <v>Mr. Ogunleye</v>
      </c>
      <c r="L54">
        <f>_xlfn.XLOOKUP(B54,zones_lookup!A:A,zones_lookup!C:C,"Not found")</f>
        <v>181000</v>
      </c>
    </row>
    <row r="55" spans="1:12" x14ac:dyDescent="0.3">
      <c r="A55" s="2">
        <v>45818</v>
      </c>
      <c r="B55" t="s">
        <v>93</v>
      </c>
      <c r="C55" t="s">
        <v>57</v>
      </c>
      <c r="D55">
        <v>4</v>
      </c>
      <c r="E55">
        <v>15.1</v>
      </c>
      <c r="F55">
        <v>164</v>
      </c>
      <c r="G55">
        <v>6</v>
      </c>
      <c r="H55">
        <v>6</v>
      </c>
      <c r="I55" t="s">
        <v>1667</v>
      </c>
      <c r="J55">
        <v>3.7749999999999999</v>
      </c>
      <c r="K55" t="str">
        <f>_xlfn.XLOOKUP(B55,zones_lookup!A:A,zones_lookup!B:B,"Not found")</f>
        <v>Mr. Ogunleye</v>
      </c>
      <c r="L55">
        <f>_xlfn.XLOOKUP(B55,zones_lookup!A:A,zones_lookup!C:C,"Not found")</f>
        <v>181000</v>
      </c>
    </row>
    <row r="56" spans="1:12" x14ac:dyDescent="0.3">
      <c r="A56" s="2">
        <v>45785</v>
      </c>
      <c r="B56" t="s">
        <v>60</v>
      </c>
      <c r="C56" t="s">
        <v>69</v>
      </c>
      <c r="D56">
        <v>6</v>
      </c>
      <c r="E56">
        <v>25.8</v>
      </c>
      <c r="F56">
        <v>223.8</v>
      </c>
      <c r="G56">
        <v>1</v>
      </c>
      <c r="H56">
        <v>5</v>
      </c>
      <c r="I56" t="s">
        <v>1663</v>
      </c>
      <c r="J56">
        <v>4.3</v>
      </c>
      <c r="K56" t="str">
        <f>_xlfn.XLOOKUP(B56,zones_lookup!A:A,zones_lookup!B:B,"Not found")</f>
        <v>Mrs. Eze</v>
      </c>
      <c r="L56">
        <f>_xlfn.XLOOKUP(B56,zones_lookup!A:A,zones_lookup!C:C,"Not found")</f>
        <v>535000</v>
      </c>
    </row>
    <row r="57" spans="1:12" x14ac:dyDescent="0.3">
      <c r="A57" s="2">
        <v>45744</v>
      </c>
      <c r="B57" t="s">
        <v>49</v>
      </c>
      <c r="C57" t="s">
        <v>52</v>
      </c>
      <c r="D57">
        <v>4</v>
      </c>
      <c r="E57">
        <v>14.3</v>
      </c>
      <c r="F57">
        <v>178.2</v>
      </c>
      <c r="G57">
        <v>8</v>
      </c>
      <c r="H57">
        <v>3</v>
      </c>
      <c r="I57" t="s">
        <v>1662</v>
      </c>
      <c r="J57">
        <v>3.5750000000000002</v>
      </c>
      <c r="K57" t="str">
        <f>_xlfn.XLOOKUP(B57,zones_lookup!A:A,zones_lookup!B:B,"Not found")</f>
        <v>Mrs. Johnson</v>
      </c>
      <c r="L57">
        <f>_xlfn.XLOOKUP(B57,zones_lookup!A:A,zones_lookup!C:C,"Not found")</f>
        <v>241000</v>
      </c>
    </row>
    <row r="58" spans="1:12" x14ac:dyDescent="0.3">
      <c r="A58" s="2">
        <v>45849</v>
      </c>
      <c r="B58" t="s">
        <v>93</v>
      </c>
      <c r="C58" t="s">
        <v>101</v>
      </c>
      <c r="D58">
        <v>3</v>
      </c>
      <c r="E58">
        <v>12</v>
      </c>
      <c r="F58">
        <v>115.5</v>
      </c>
      <c r="G58">
        <v>3</v>
      </c>
      <c r="H58">
        <v>7</v>
      </c>
      <c r="I58" t="s">
        <v>1661</v>
      </c>
      <c r="J58">
        <v>4</v>
      </c>
      <c r="K58" t="str">
        <f>_xlfn.XLOOKUP(B58,zones_lookup!A:A,zones_lookup!B:B,"Not found")</f>
        <v>Mr. Ogunleye</v>
      </c>
      <c r="L58">
        <f>_xlfn.XLOOKUP(B58,zones_lookup!A:A,zones_lookup!C:C,"Not found")</f>
        <v>181000</v>
      </c>
    </row>
    <row r="59" spans="1:12" x14ac:dyDescent="0.3">
      <c r="A59" s="2">
        <v>45985</v>
      </c>
      <c r="B59" t="s">
        <v>108</v>
      </c>
      <c r="C59" t="s">
        <v>109</v>
      </c>
      <c r="D59">
        <v>5</v>
      </c>
      <c r="E59">
        <v>33.9</v>
      </c>
      <c r="F59">
        <v>163.1</v>
      </c>
      <c r="G59">
        <v>0</v>
      </c>
      <c r="H59">
        <v>11</v>
      </c>
      <c r="I59" t="s">
        <v>1664</v>
      </c>
      <c r="J59">
        <v>6.7799999999999994</v>
      </c>
      <c r="K59" t="str">
        <f>_xlfn.XLOOKUP(B59,zones_lookup!A:A,zones_lookup!B:B,"Not found")</f>
        <v>Mrs. Okafor</v>
      </c>
      <c r="L59">
        <f>_xlfn.XLOOKUP(B59,zones_lookup!A:A,zones_lookup!C:C,"Not found")</f>
        <v>503000</v>
      </c>
    </row>
    <row r="60" spans="1:12" x14ac:dyDescent="0.3">
      <c r="A60" s="2">
        <v>45794</v>
      </c>
      <c r="B60" t="s">
        <v>76</v>
      </c>
      <c r="C60" t="s">
        <v>84</v>
      </c>
      <c r="D60">
        <v>6</v>
      </c>
      <c r="E60">
        <v>34.799999999999997</v>
      </c>
      <c r="F60">
        <v>235.1</v>
      </c>
      <c r="G60">
        <v>4</v>
      </c>
      <c r="H60">
        <v>5</v>
      </c>
      <c r="I60" t="s">
        <v>1663</v>
      </c>
      <c r="J60">
        <v>5.8</v>
      </c>
      <c r="K60" t="str">
        <f>_xlfn.XLOOKUP(B60,zones_lookup!A:A,zones_lookup!B:B,"Not found")</f>
        <v>Mr. Adeyemi</v>
      </c>
      <c r="L60">
        <f>_xlfn.XLOOKUP(B60,zones_lookup!A:A,zones_lookup!C:C,"Not found")</f>
        <v>313000</v>
      </c>
    </row>
    <row r="61" spans="1:12" x14ac:dyDescent="0.3">
      <c r="A61" s="2">
        <v>45881</v>
      </c>
      <c r="B61" t="s">
        <v>49</v>
      </c>
      <c r="C61" t="s">
        <v>50</v>
      </c>
      <c r="D61">
        <v>5</v>
      </c>
      <c r="E61">
        <v>16.3</v>
      </c>
      <c r="F61">
        <v>179.2</v>
      </c>
      <c r="G61">
        <v>2</v>
      </c>
      <c r="H61">
        <v>8</v>
      </c>
      <c r="I61" t="s">
        <v>1666</v>
      </c>
      <c r="J61">
        <v>3.2600000000000002</v>
      </c>
      <c r="K61" t="str">
        <f>_xlfn.XLOOKUP(B61,zones_lookup!A:A,zones_lookup!B:B,"Not found")</f>
        <v>Mrs. Johnson</v>
      </c>
      <c r="L61">
        <f>_xlfn.XLOOKUP(B61,zones_lookup!A:A,zones_lookup!C:C,"Not found")</f>
        <v>241000</v>
      </c>
    </row>
    <row r="62" spans="1:12" x14ac:dyDescent="0.3">
      <c r="A62" s="2">
        <v>45988</v>
      </c>
      <c r="B62" t="s">
        <v>41</v>
      </c>
      <c r="C62" t="s">
        <v>73</v>
      </c>
      <c r="D62">
        <v>3</v>
      </c>
      <c r="E62">
        <v>26.9</v>
      </c>
      <c r="F62">
        <v>115.7</v>
      </c>
      <c r="G62">
        <v>1</v>
      </c>
      <c r="H62">
        <v>11</v>
      </c>
      <c r="I62" t="s">
        <v>1664</v>
      </c>
      <c r="J62">
        <v>8.9666666666666668</v>
      </c>
      <c r="K62" t="str">
        <f>_xlfn.XLOOKUP(B62,zones_lookup!A:A,zones_lookup!B:B,"Not found")</f>
        <v>Mrs. Adisa</v>
      </c>
      <c r="L62">
        <f>_xlfn.XLOOKUP(B62,zones_lookup!A:A,zones_lookup!C:C,"Not found")</f>
        <v>633000</v>
      </c>
    </row>
    <row r="63" spans="1:12" x14ac:dyDescent="0.3">
      <c r="A63" s="2">
        <v>45729</v>
      </c>
      <c r="B63" t="s">
        <v>41</v>
      </c>
      <c r="C63" t="s">
        <v>42</v>
      </c>
      <c r="D63">
        <v>6</v>
      </c>
      <c r="E63">
        <v>41.6</v>
      </c>
      <c r="F63">
        <v>235.4</v>
      </c>
      <c r="G63">
        <v>0</v>
      </c>
      <c r="H63">
        <v>3</v>
      </c>
      <c r="I63" t="s">
        <v>1662</v>
      </c>
      <c r="J63">
        <v>6.9333333333333336</v>
      </c>
      <c r="K63" t="str">
        <f>_xlfn.XLOOKUP(B63,zones_lookup!A:A,zones_lookup!B:B,"Not found")</f>
        <v>Mrs. Adisa</v>
      </c>
      <c r="L63">
        <f>_xlfn.XLOOKUP(B63,zones_lookup!A:A,zones_lookup!C:C,"Not found")</f>
        <v>633000</v>
      </c>
    </row>
    <row r="64" spans="1:12" x14ac:dyDescent="0.3">
      <c r="A64" s="2">
        <v>45851</v>
      </c>
      <c r="B64" t="s">
        <v>89</v>
      </c>
      <c r="C64" t="s">
        <v>131</v>
      </c>
      <c r="D64">
        <v>5</v>
      </c>
      <c r="E64">
        <v>20.3</v>
      </c>
      <c r="F64">
        <v>182.1</v>
      </c>
      <c r="G64">
        <v>4</v>
      </c>
      <c r="H64">
        <v>7</v>
      </c>
      <c r="I64" t="s">
        <v>1661</v>
      </c>
      <c r="J64">
        <v>4.0600000000000005</v>
      </c>
      <c r="K64" t="str">
        <f>_xlfn.XLOOKUP(B64,zones_lookup!A:A,zones_lookup!B:B,"Not found")</f>
        <v>Mr. Salami</v>
      </c>
      <c r="L64">
        <f>_xlfn.XLOOKUP(B64,zones_lookup!A:A,zones_lookup!C:C,"Not found")</f>
        <v>200000</v>
      </c>
    </row>
    <row r="65" spans="1:12" x14ac:dyDescent="0.3">
      <c r="A65" s="2">
        <v>45772</v>
      </c>
      <c r="B65" t="s">
        <v>27</v>
      </c>
      <c r="C65" t="s">
        <v>28</v>
      </c>
      <c r="D65">
        <v>2</v>
      </c>
      <c r="E65">
        <v>14</v>
      </c>
      <c r="F65">
        <v>55.6</v>
      </c>
      <c r="G65">
        <v>1</v>
      </c>
      <c r="H65">
        <v>4</v>
      </c>
      <c r="I65" t="s">
        <v>1668</v>
      </c>
      <c r="J65">
        <v>7</v>
      </c>
      <c r="K65" t="str">
        <f>_xlfn.XLOOKUP(B65,zones_lookup!A:A,zones_lookup!B:B,"Not found")</f>
        <v>Mr. Bello</v>
      </c>
      <c r="L65">
        <f>_xlfn.XLOOKUP(B65,zones_lookup!A:A,zones_lookup!C:C,"Not found")</f>
        <v>1288000</v>
      </c>
    </row>
    <row r="66" spans="1:12" x14ac:dyDescent="0.3">
      <c r="A66" s="2">
        <v>45706</v>
      </c>
      <c r="B66" t="s">
        <v>108</v>
      </c>
      <c r="C66" t="s">
        <v>169</v>
      </c>
      <c r="D66">
        <v>3</v>
      </c>
      <c r="E66">
        <v>16.8</v>
      </c>
      <c r="F66">
        <v>110.4</v>
      </c>
      <c r="G66">
        <v>0</v>
      </c>
      <c r="H66">
        <v>2</v>
      </c>
      <c r="I66" t="s">
        <v>1665</v>
      </c>
      <c r="J66">
        <v>5.6000000000000005</v>
      </c>
      <c r="K66" t="str">
        <f>_xlfn.XLOOKUP(B66,zones_lookup!A:A,zones_lookup!B:B,"Not found")</f>
        <v>Mrs. Okafor</v>
      </c>
      <c r="L66">
        <f>_xlfn.XLOOKUP(B66,zones_lookup!A:A,zones_lookup!C:C,"Not found")</f>
        <v>503000</v>
      </c>
    </row>
    <row r="67" spans="1:12" x14ac:dyDescent="0.3">
      <c r="A67" s="2">
        <v>45973</v>
      </c>
      <c r="B67" t="s">
        <v>27</v>
      </c>
      <c r="C67" t="s">
        <v>38</v>
      </c>
      <c r="D67">
        <v>3</v>
      </c>
      <c r="E67">
        <v>19.8</v>
      </c>
      <c r="F67">
        <v>105.9</v>
      </c>
      <c r="G67">
        <v>0</v>
      </c>
      <c r="H67">
        <v>11</v>
      </c>
      <c r="I67" t="s">
        <v>1664</v>
      </c>
      <c r="J67">
        <v>6.6000000000000005</v>
      </c>
      <c r="K67" t="str">
        <f>_xlfn.XLOOKUP(B67,zones_lookup!A:A,zones_lookup!B:B,"Not found")</f>
        <v>Mr. Bello</v>
      </c>
      <c r="L67">
        <f>_xlfn.XLOOKUP(B67,zones_lookup!A:A,zones_lookup!C:C,"Not found")</f>
        <v>1288000</v>
      </c>
    </row>
    <row r="68" spans="1:12" x14ac:dyDescent="0.3">
      <c r="A68" s="2">
        <v>45941</v>
      </c>
      <c r="B68" t="s">
        <v>41</v>
      </c>
      <c r="C68" t="s">
        <v>46</v>
      </c>
      <c r="D68">
        <v>3</v>
      </c>
      <c r="E68">
        <v>27.6</v>
      </c>
      <c r="F68">
        <v>122.5</v>
      </c>
      <c r="G68">
        <v>0</v>
      </c>
      <c r="H68">
        <v>10</v>
      </c>
      <c r="I68" t="s">
        <v>1669</v>
      </c>
      <c r="J68">
        <v>9.2000000000000011</v>
      </c>
      <c r="K68" t="str">
        <f>_xlfn.XLOOKUP(B68,zones_lookup!A:A,zones_lookup!B:B,"Not found")</f>
        <v>Mrs. Adisa</v>
      </c>
      <c r="L68">
        <f>_xlfn.XLOOKUP(B68,zones_lookup!A:A,zones_lookup!C:C,"Not found")</f>
        <v>633000</v>
      </c>
    </row>
    <row r="69" spans="1:12" x14ac:dyDescent="0.3">
      <c r="A69" s="2">
        <v>45880</v>
      </c>
      <c r="B69" t="s">
        <v>76</v>
      </c>
      <c r="C69" t="s">
        <v>80</v>
      </c>
      <c r="D69">
        <v>2</v>
      </c>
      <c r="E69">
        <v>12.2</v>
      </c>
      <c r="F69">
        <v>83.4</v>
      </c>
      <c r="G69">
        <v>0</v>
      </c>
      <c r="H69">
        <v>8</v>
      </c>
      <c r="I69" t="s">
        <v>1666</v>
      </c>
      <c r="J69">
        <v>6.1</v>
      </c>
      <c r="K69" t="str">
        <f>_xlfn.XLOOKUP(B69,zones_lookup!A:A,zones_lookup!B:B,"Not found")</f>
        <v>Mr. Adeyemi</v>
      </c>
      <c r="L69">
        <f>_xlfn.XLOOKUP(B69,zones_lookup!A:A,zones_lookup!C:C,"Not found")</f>
        <v>313000</v>
      </c>
    </row>
    <row r="70" spans="1:12" x14ac:dyDescent="0.3">
      <c r="A70" s="2">
        <v>45733</v>
      </c>
      <c r="B70" t="s">
        <v>89</v>
      </c>
      <c r="C70" t="s">
        <v>90</v>
      </c>
      <c r="D70">
        <v>6</v>
      </c>
      <c r="E70">
        <v>32.700000000000003</v>
      </c>
      <c r="F70">
        <v>245.2</v>
      </c>
      <c r="G70">
        <v>1</v>
      </c>
      <c r="H70">
        <v>3</v>
      </c>
      <c r="I70" t="s">
        <v>1662</v>
      </c>
      <c r="J70">
        <v>5.45</v>
      </c>
      <c r="K70" t="str">
        <f>_xlfn.XLOOKUP(B70,zones_lookup!A:A,zones_lookup!B:B,"Not found")</f>
        <v>Mr. Salami</v>
      </c>
      <c r="L70">
        <f>_xlfn.XLOOKUP(B70,zones_lookup!A:A,zones_lookup!C:C,"Not found")</f>
        <v>200000</v>
      </c>
    </row>
    <row r="71" spans="1:12" x14ac:dyDescent="0.3">
      <c r="A71" s="2">
        <v>45664</v>
      </c>
      <c r="B71" t="s">
        <v>93</v>
      </c>
      <c r="C71" t="s">
        <v>101</v>
      </c>
      <c r="D71">
        <v>5</v>
      </c>
      <c r="E71">
        <v>15.1</v>
      </c>
      <c r="F71">
        <v>208.2</v>
      </c>
      <c r="G71">
        <v>3</v>
      </c>
      <c r="H71">
        <v>1</v>
      </c>
      <c r="I71" t="s">
        <v>1660</v>
      </c>
      <c r="J71">
        <v>3.02</v>
      </c>
      <c r="K71" t="str">
        <f>_xlfn.XLOOKUP(B71,zones_lookup!A:A,zones_lookup!B:B,"Not found")</f>
        <v>Mr. Ogunleye</v>
      </c>
      <c r="L71">
        <f>_xlfn.XLOOKUP(B71,zones_lookup!A:A,zones_lookup!C:C,"Not found")</f>
        <v>181000</v>
      </c>
    </row>
    <row r="72" spans="1:12" x14ac:dyDescent="0.3">
      <c r="A72" s="2">
        <v>45907</v>
      </c>
      <c r="B72" t="s">
        <v>60</v>
      </c>
      <c r="C72" t="s">
        <v>64</v>
      </c>
      <c r="D72">
        <v>3</v>
      </c>
      <c r="E72">
        <v>14.4</v>
      </c>
      <c r="F72">
        <v>114.1</v>
      </c>
      <c r="G72">
        <v>3</v>
      </c>
      <c r="H72">
        <v>9</v>
      </c>
      <c r="I72" t="s">
        <v>1670</v>
      </c>
      <c r="J72">
        <v>4.8</v>
      </c>
      <c r="K72" t="str">
        <f>_xlfn.XLOOKUP(B72,zones_lookup!A:A,zones_lookup!B:B,"Not found")</f>
        <v>Mrs. Eze</v>
      </c>
      <c r="L72">
        <f>_xlfn.XLOOKUP(B72,zones_lookup!A:A,zones_lookup!C:C,"Not found")</f>
        <v>535000</v>
      </c>
    </row>
    <row r="73" spans="1:12" x14ac:dyDescent="0.3">
      <c r="A73" s="2">
        <v>45669</v>
      </c>
      <c r="B73" t="s">
        <v>76</v>
      </c>
      <c r="C73" t="s">
        <v>77</v>
      </c>
      <c r="D73">
        <v>2</v>
      </c>
      <c r="E73">
        <v>13.9</v>
      </c>
      <c r="F73">
        <v>79.8</v>
      </c>
      <c r="G73">
        <v>0</v>
      </c>
      <c r="H73">
        <v>1</v>
      </c>
      <c r="I73" t="s">
        <v>1660</v>
      </c>
      <c r="J73">
        <v>6.95</v>
      </c>
      <c r="K73" t="str">
        <f>_xlfn.XLOOKUP(B73,zones_lookup!A:A,zones_lookup!B:B,"Not found")</f>
        <v>Mr. Adeyemi</v>
      </c>
      <c r="L73">
        <f>_xlfn.XLOOKUP(B73,zones_lookup!A:A,zones_lookup!C:C,"Not found")</f>
        <v>313000</v>
      </c>
    </row>
    <row r="74" spans="1:12" x14ac:dyDescent="0.3">
      <c r="A74" s="2">
        <v>45979</v>
      </c>
      <c r="B74" t="s">
        <v>89</v>
      </c>
      <c r="C74" t="s">
        <v>90</v>
      </c>
      <c r="D74">
        <v>4</v>
      </c>
      <c r="E74">
        <v>28.3</v>
      </c>
      <c r="F74">
        <v>171.1</v>
      </c>
      <c r="G74">
        <v>2</v>
      </c>
      <c r="H74">
        <v>11</v>
      </c>
      <c r="I74" t="s">
        <v>1664</v>
      </c>
      <c r="J74">
        <v>7.0750000000000002</v>
      </c>
      <c r="K74" t="str">
        <f>_xlfn.XLOOKUP(B74,zones_lookup!A:A,zones_lookup!B:B,"Not found")</f>
        <v>Mr. Salami</v>
      </c>
      <c r="L74">
        <f>_xlfn.XLOOKUP(B74,zones_lookup!A:A,zones_lookup!C:C,"Not found")</f>
        <v>200000</v>
      </c>
    </row>
    <row r="75" spans="1:12" x14ac:dyDescent="0.3">
      <c r="A75" s="2">
        <v>45991</v>
      </c>
      <c r="B75" t="s">
        <v>60</v>
      </c>
      <c r="C75" t="s">
        <v>61</v>
      </c>
      <c r="D75">
        <v>5</v>
      </c>
      <c r="E75">
        <v>20.7</v>
      </c>
      <c r="F75">
        <v>200.5</v>
      </c>
      <c r="G75">
        <v>0</v>
      </c>
      <c r="H75">
        <v>11</v>
      </c>
      <c r="I75" t="s">
        <v>1664</v>
      </c>
      <c r="J75">
        <v>4.1399999999999997</v>
      </c>
      <c r="K75" t="str">
        <f>_xlfn.XLOOKUP(B75,zones_lookup!A:A,zones_lookup!B:B,"Not found")</f>
        <v>Mrs. Eze</v>
      </c>
      <c r="L75">
        <f>_xlfn.XLOOKUP(B75,zones_lookup!A:A,zones_lookup!C:C,"Not found")</f>
        <v>535000</v>
      </c>
    </row>
    <row r="76" spans="1:12" x14ac:dyDescent="0.3">
      <c r="A76" s="2">
        <v>45898</v>
      </c>
      <c r="B76" t="s">
        <v>89</v>
      </c>
      <c r="C76" t="s">
        <v>90</v>
      </c>
      <c r="D76">
        <v>2</v>
      </c>
      <c r="E76">
        <v>11.7</v>
      </c>
      <c r="F76">
        <v>80.3</v>
      </c>
      <c r="G76">
        <v>1</v>
      </c>
      <c r="H76">
        <v>8</v>
      </c>
      <c r="I76" t="s">
        <v>1666</v>
      </c>
      <c r="J76">
        <v>5.85</v>
      </c>
      <c r="K76" t="str">
        <f>_xlfn.XLOOKUP(B76,zones_lookup!A:A,zones_lookup!B:B,"Not found")</f>
        <v>Mr. Salami</v>
      </c>
      <c r="L76">
        <f>_xlfn.XLOOKUP(B76,zones_lookup!A:A,zones_lookup!C:C,"Not found")</f>
        <v>200000</v>
      </c>
    </row>
    <row r="77" spans="1:12" x14ac:dyDescent="0.3">
      <c r="A77" s="2">
        <v>45953</v>
      </c>
      <c r="B77" t="s">
        <v>41</v>
      </c>
      <c r="C77" t="s">
        <v>73</v>
      </c>
      <c r="D77">
        <v>6</v>
      </c>
      <c r="E77">
        <v>46.2</v>
      </c>
      <c r="F77">
        <v>206</v>
      </c>
      <c r="G77">
        <v>0</v>
      </c>
      <c r="H77">
        <v>10</v>
      </c>
      <c r="I77" t="s">
        <v>1669</v>
      </c>
      <c r="J77">
        <v>7.7</v>
      </c>
      <c r="K77" t="str">
        <f>_xlfn.XLOOKUP(B77,zones_lookup!A:A,zones_lookup!B:B,"Not found")</f>
        <v>Mrs. Adisa</v>
      </c>
      <c r="L77">
        <f>_xlfn.XLOOKUP(B77,zones_lookup!A:A,zones_lookup!C:C,"Not found")</f>
        <v>633000</v>
      </c>
    </row>
    <row r="78" spans="1:12" x14ac:dyDescent="0.3">
      <c r="A78" s="2">
        <v>45773</v>
      </c>
      <c r="B78" t="s">
        <v>49</v>
      </c>
      <c r="C78" t="s">
        <v>52</v>
      </c>
      <c r="D78">
        <v>3</v>
      </c>
      <c r="E78">
        <v>12.2</v>
      </c>
      <c r="F78">
        <v>111.7</v>
      </c>
      <c r="G78">
        <v>2</v>
      </c>
      <c r="H78">
        <v>4</v>
      </c>
      <c r="I78" t="s">
        <v>1668</v>
      </c>
      <c r="J78">
        <v>4.0666666666666664</v>
      </c>
      <c r="K78" t="str">
        <f>_xlfn.XLOOKUP(B78,zones_lookup!A:A,zones_lookup!B:B,"Not found")</f>
        <v>Mrs. Johnson</v>
      </c>
      <c r="L78">
        <f>_xlfn.XLOOKUP(B78,zones_lookup!A:A,zones_lookup!C:C,"Not found")</f>
        <v>241000</v>
      </c>
    </row>
    <row r="79" spans="1:12" x14ac:dyDescent="0.3">
      <c r="A79" s="2">
        <v>45907</v>
      </c>
      <c r="B79" t="s">
        <v>108</v>
      </c>
      <c r="C79" t="s">
        <v>169</v>
      </c>
      <c r="D79">
        <v>4</v>
      </c>
      <c r="E79">
        <v>24.4</v>
      </c>
      <c r="F79">
        <v>157.5</v>
      </c>
      <c r="G79">
        <v>2</v>
      </c>
      <c r="H79">
        <v>9</v>
      </c>
      <c r="I79" t="s">
        <v>1670</v>
      </c>
      <c r="J79">
        <v>6.1</v>
      </c>
      <c r="K79" t="str">
        <f>_xlfn.XLOOKUP(B79,zones_lookup!A:A,zones_lookup!B:B,"Not found")</f>
        <v>Mrs. Okafor</v>
      </c>
      <c r="L79">
        <f>_xlfn.XLOOKUP(B79,zones_lookup!A:A,zones_lookup!C:C,"Not found")</f>
        <v>503000</v>
      </c>
    </row>
    <row r="80" spans="1:12" x14ac:dyDescent="0.3">
      <c r="A80" s="2">
        <v>45998</v>
      </c>
      <c r="B80" t="s">
        <v>49</v>
      </c>
      <c r="C80" t="s">
        <v>52</v>
      </c>
      <c r="D80">
        <v>3</v>
      </c>
      <c r="E80">
        <v>15.7</v>
      </c>
      <c r="F80">
        <v>111.7</v>
      </c>
      <c r="G80">
        <v>4</v>
      </c>
      <c r="H80">
        <v>12</v>
      </c>
      <c r="I80" t="s">
        <v>1671</v>
      </c>
      <c r="J80">
        <v>5.2333333333333334</v>
      </c>
      <c r="K80" t="str">
        <f>_xlfn.XLOOKUP(B80,zones_lookup!A:A,zones_lookup!B:B,"Not found")</f>
        <v>Mrs. Johnson</v>
      </c>
      <c r="L80">
        <f>_xlfn.XLOOKUP(B80,zones_lookup!A:A,zones_lookup!C:C,"Not found")</f>
        <v>241000</v>
      </c>
    </row>
    <row r="81" spans="1:12" x14ac:dyDescent="0.3">
      <c r="A81" s="2">
        <v>45912</v>
      </c>
      <c r="B81" t="s">
        <v>49</v>
      </c>
      <c r="C81" t="s">
        <v>52</v>
      </c>
      <c r="D81">
        <v>2</v>
      </c>
      <c r="E81">
        <v>6.3</v>
      </c>
      <c r="F81">
        <v>82.7</v>
      </c>
      <c r="G81">
        <v>3</v>
      </c>
      <c r="H81">
        <v>9</v>
      </c>
      <c r="I81" t="s">
        <v>1670</v>
      </c>
      <c r="J81">
        <v>3.15</v>
      </c>
      <c r="K81" t="str">
        <f>_xlfn.XLOOKUP(B81,zones_lookup!A:A,zones_lookup!B:B,"Not found")</f>
        <v>Mrs. Johnson</v>
      </c>
      <c r="L81">
        <f>_xlfn.XLOOKUP(B81,zones_lookup!A:A,zones_lookup!C:C,"Not found")</f>
        <v>241000</v>
      </c>
    </row>
    <row r="82" spans="1:12" x14ac:dyDescent="0.3">
      <c r="A82" s="2">
        <v>45667</v>
      </c>
      <c r="B82" t="s">
        <v>60</v>
      </c>
      <c r="C82" t="s">
        <v>61</v>
      </c>
      <c r="D82">
        <v>4</v>
      </c>
      <c r="E82">
        <v>16.7</v>
      </c>
      <c r="F82">
        <v>130.30000000000001</v>
      </c>
      <c r="G82">
        <v>1</v>
      </c>
      <c r="H82">
        <v>1</v>
      </c>
      <c r="I82" t="s">
        <v>1660</v>
      </c>
      <c r="J82">
        <v>4.1749999999999998</v>
      </c>
      <c r="K82" t="str">
        <f>_xlfn.XLOOKUP(B82,zones_lookup!A:A,zones_lookup!B:B,"Not found")</f>
        <v>Mrs. Eze</v>
      </c>
      <c r="L82">
        <f>_xlfn.XLOOKUP(B82,zones_lookup!A:A,zones_lookup!C:C,"Not found")</f>
        <v>535000</v>
      </c>
    </row>
    <row r="83" spans="1:12" x14ac:dyDescent="0.3">
      <c r="A83" s="2">
        <v>45997</v>
      </c>
      <c r="B83" t="s">
        <v>108</v>
      </c>
      <c r="C83" t="s">
        <v>109</v>
      </c>
      <c r="D83">
        <v>6</v>
      </c>
      <c r="E83">
        <v>37.9</v>
      </c>
      <c r="F83">
        <v>272.3</v>
      </c>
      <c r="G83">
        <v>1</v>
      </c>
      <c r="H83">
        <v>12</v>
      </c>
      <c r="I83" t="s">
        <v>1671</v>
      </c>
      <c r="J83">
        <v>6.3166666666666664</v>
      </c>
      <c r="K83" t="str">
        <f>_xlfn.XLOOKUP(B83,zones_lookup!A:A,zones_lookup!B:B,"Not found")</f>
        <v>Mrs. Okafor</v>
      </c>
      <c r="L83">
        <f>_xlfn.XLOOKUP(B83,zones_lookup!A:A,zones_lookup!C:C,"Not found")</f>
        <v>503000</v>
      </c>
    </row>
    <row r="84" spans="1:12" x14ac:dyDescent="0.3">
      <c r="A84" s="2">
        <v>45771</v>
      </c>
      <c r="B84" t="s">
        <v>108</v>
      </c>
      <c r="C84" t="s">
        <v>109</v>
      </c>
      <c r="D84">
        <v>3</v>
      </c>
      <c r="E84">
        <v>19.899999999999999</v>
      </c>
      <c r="F84">
        <v>86.7</v>
      </c>
      <c r="G84">
        <v>1</v>
      </c>
      <c r="H84">
        <v>4</v>
      </c>
      <c r="I84" t="s">
        <v>1668</v>
      </c>
      <c r="J84">
        <v>6.6333333333333329</v>
      </c>
      <c r="K84" t="str">
        <f>_xlfn.XLOOKUP(B84,zones_lookup!A:A,zones_lookup!B:B,"Not found")</f>
        <v>Mrs. Okafor</v>
      </c>
      <c r="L84">
        <f>_xlfn.XLOOKUP(B84,zones_lookup!A:A,zones_lookup!C:C,"Not found")</f>
        <v>503000</v>
      </c>
    </row>
    <row r="85" spans="1:12" x14ac:dyDescent="0.3">
      <c r="A85" s="2">
        <v>45932</v>
      </c>
      <c r="B85" t="s">
        <v>108</v>
      </c>
      <c r="C85" t="s">
        <v>109</v>
      </c>
      <c r="D85">
        <v>3</v>
      </c>
      <c r="E85">
        <v>17</v>
      </c>
      <c r="F85">
        <v>145.1</v>
      </c>
      <c r="G85">
        <v>1</v>
      </c>
      <c r="H85">
        <v>10</v>
      </c>
      <c r="I85" t="s">
        <v>1669</v>
      </c>
      <c r="J85">
        <v>5.666666666666667</v>
      </c>
      <c r="K85" t="str">
        <f>_xlfn.XLOOKUP(B85,zones_lookup!A:A,zones_lookup!B:B,"Not found")</f>
        <v>Mrs. Okafor</v>
      </c>
      <c r="L85">
        <f>_xlfn.XLOOKUP(B85,zones_lookup!A:A,zones_lookup!C:C,"Not found")</f>
        <v>503000</v>
      </c>
    </row>
    <row r="86" spans="1:12" x14ac:dyDescent="0.3">
      <c r="A86" s="2">
        <v>45741</v>
      </c>
      <c r="B86" t="s">
        <v>76</v>
      </c>
      <c r="C86" t="s">
        <v>84</v>
      </c>
      <c r="D86">
        <v>4</v>
      </c>
      <c r="E86">
        <v>29.4</v>
      </c>
      <c r="F86">
        <v>127.6</v>
      </c>
      <c r="G86">
        <v>2</v>
      </c>
      <c r="H86">
        <v>3</v>
      </c>
      <c r="I86" t="s">
        <v>1662</v>
      </c>
      <c r="J86">
        <v>7.35</v>
      </c>
      <c r="K86" t="str">
        <f>_xlfn.XLOOKUP(B86,zones_lookup!A:A,zones_lookup!B:B,"Not found")</f>
        <v>Mr. Adeyemi</v>
      </c>
      <c r="L86">
        <f>_xlfn.XLOOKUP(B86,zones_lookup!A:A,zones_lookup!C:C,"Not found")</f>
        <v>313000</v>
      </c>
    </row>
    <row r="87" spans="1:12" x14ac:dyDescent="0.3">
      <c r="A87" s="2">
        <v>45808</v>
      </c>
      <c r="B87" t="s">
        <v>89</v>
      </c>
      <c r="C87" t="s">
        <v>90</v>
      </c>
      <c r="D87">
        <v>4</v>
      </c>
      <c r="E87">
        <v>22.3</v>
      </c>
      <c r="F87">
        <v>198.8</v>
      </c>
      <c r="G87">
        <v>3</v>
      </c>
      <c r="H87">
        <v>5</v>
      </c>
      <c r="I87" t="s">
        <v>1663</v>
      </c>
      <c r="J87">
        <v>5.5750000000000002</v>
      </c>
      <c r="K87" t="str">
        <f>_xlfn.XLOOKUP(B87,zones_lookup!A:A,zones_lookup!B:B,"Not found")</f>
        <v>Mr. Salami</v>
      </c>
      <c r="L87">
        <f>_xlfn.XLOOKUP(B87,zones_lookup!A:A,zones_lookup!C:C,"Not found")</f>
        <v>200000</v>
      </c>
    </row>
    <row r="88" spans="1:12" x14ac:dyDescent="0.3">
      <c r="A88" s="2">
        <v>45753</v>
      </c>
      <c r="B88" t="s">
        <v>60</v>
      </c>
      <c r="C88" t="s">
        <v>64</v>
      </c>
      <c r="D88">
        <v>3</v>
      </c>
      <c r="E88">
        <v>13.1</v>
      </c>
      <c r="F88">
        <v>122.5</v>
      </c>
      <c r="G88">
        <v>2</v>
      </c>
      <c r="H88">
        <v>4</v>
      </c>
      <c r="I88" t="s">
        <v>1668</v>
      </c>
      <c r="J88">
        <v>4.3666666666666663</v>
      </c>
      <c r="K88" t="str">
        <f>_xlfn.XLOOKUP(B88,zones_lookup!A:A,zones_lookup!B:B,"Not found")</f>
        <v>Mrs. Eze</v>
      </c>
      <c r="L88">
        <f>_xlfn.XLOOKUP(B88,zones_lookup!A:A,zones_lookup!C:C,"Not found")</f>
        <v>535000</v>
      </c>
    </row>
    <row r="89" spans="1:12" x14ac:dyDescent="0.3">
      <c r="A89" s="2">
        <v>45796</v>
      </c>
      <c r="B89" t="s">
        <v>108</v>
      </c>
      <c r="C89" t="s">
        <v>208</v>
      </c>
      <c r="D89">
        <v>5</v>
      </c>
      <c r="E89">
        <v>35.5</v>
      </c>
      <c r="F89">
        <v>143.80000000000001</v>
      </c>
      <c r="G89">
        <v>0</v>
      </c>
      <c r="H89">
        <v>5</v>
      </c>
      <c r="I89" t="s">
        <v>1663</v>
      </c>
      <c r="J89">
        <v>7.1</v>
      </c>
      <c r="K89" t="str">
        <f>_xlfn.XLOOKUP(B89,zones_lookup!A:A,zones_lookup!B:B,"Not found")</f>
        <v>Mrs. Okafor</v>
      </c>
      <c r="L89">
        <f>_xlfn.XLOOKUP(B89,zones_lookup!A:A,zones_lookup!C:C,"Not found")</f>
        <v>503000</v>
      </c>
    </row>
    <row r="90" spans="1:12" x14ac:dyDescent="0.3">
      <c r="A90" s="2">
        <v>45721</v>
      </c>
      <c r="B90" t="s">
        <v>93</v>
      </c>
      <c r="C90" t="s">
        <v>101</v>
      </c>
      <c r="D90">
        <v>5</v>
      </c>
      <c r="E90">
        <v>19.600000000000001</v>
      </c>
      <c r="F90">
        <v>186</v>
      </c>
      <c r="G90">
        <v>0</v>
      </c>
      <c r="H90">
        <v>3</v>
      </c>
      <c r="I90" t="s">
        <v>1662</v>
      </c>
      <c r="J90">
        <v>3.9200000000000004</v>
      </c>
      <c r="K90" t="str">
        <f>_xlfn.XLOOKUP(B90,zones_lookup!A:A,zones_lookup!B:B,"Not found")</f>
        <v>Mr. Ogunleye</v>
      </c>
      <c r="L90">
        <f>_xlfn.XLOOKUP(B90,zones_lookup!A:A,zones_lookup!C:C,"Not found")</f>
        <v>181000</v>
      </c>
    </row>
    <row r="91" spans="1:12" x14ac:dyDescent="0.3">
      <c r="A91" s="2">
        <v>45890</v>
      </c>
      <c r="B91" t="s">
        <v>49</v>
      </c>
      <c r="C91" t="s">
        <v>52</v>
      </c>
      <c r="D91">
        <v>6</v>
      </c>
      <c r="E91">
        <v>19.100000000000001</v>
      </c>
      <c r="F91">
        <v>221.4</v>
      </c>
      <c r="G91">
        <v>4</v>
      </c>
      <c r="H91">
        <v>8</v>
      </c>
      <c r="I91" t="s">
        <v>1666</v>
      </c>
      <c r="J91">
        <v>3.1833333333333336</v>
      </c>
      <c r="K91" t="str">
        <f>_xlfn.XLOOKUP(B91,zones_lookup!A:A,zones_lookup!B:B,"Not found")</f>
        <v>Mrs. Johnson</v>
      </c>
      <c r="L91">
        <f>_xlfn.XLOOKUP(B91,zones_lookup!A:A,zones_lookup!C:C,"Not found")</f>
        <v>241000</v>
      </c>
    </row>
    <row r="92" spans="1:12" x14ac:dyDescent="0.3">
      <c r="A92" s="2">
        <v>45972</v>
      </c>
      <c r="B92" t="s">
        <v>49</v>
      </c>
      <c r="C92" t="s">
        <v>52</v>
      </c>
      <c r="D92">
        <v>5</v>
      </c>
      <c r="F92">
        <v>182.3</v>
      </c>
      <c r="G92">
        <v>0</v>
      </c>
      <c r="H92">
        <v>11</v>
      </c>
      <c r="I92" t="s">
        <v>1664</v>
      </c>
      <c r="K92" t="str">
        <f>_xlfn.XLOOKUP(B92,zones_lookup!A:A,zones_lookup!B:B,"Not found")</f>
        <v>Mrs. Johnson</v>
      </c>
      <c r="L92">
        <f>_xlfn.XLOOKUP(B92,zones_lookup!A:A,zones_lookup!C:C,"Not found")</f>
        <v>241000</v>
      </c>
    </row>
    <row r="93" spans="1:12" x14ac:dyDescent="0.3">
      <c r="A93" s="2">
        <v>45910</v>
      </c>
      <c r="B93" t="s">
        <v>41</v>
      </c>
      <c r="C93" t="s">
        <v>73</v>
      </c>
      <c r="D93">
        <v>4</v>
      </c>
      <c r="E93">
        <v>23.5</v>
      </c>
      <c r="F93">
        <v>176.8</v>
      </c>
      <c r="G93">
        <v>0</v>
      </c>
      <c r="H93">
        <v>9</v>
      </c>
      <c r="I93" t="s">
        <v>1670</v>
      </c>
      <c r="J93">
        <v>5.875</v>
      </c>
      <c r="K93" t="str">
        <f>_xlfn.XLOOKUP(B93,zones_lookup!A:A,zones_lookup!B:B,"Not found")</f>
        <v>Mrs. Adisa</v>
      </c>
      <c r="L93">
        <f>_xlfn.XLOOKUP(B93,zones_lookup!A:A,zones_lookup!C:C,"Not found")</f>
        <v>633000</v>
      </c>
    </row>
    <row r="94" spans="1:12" x14ac:dyDescent="0.3">
      <c r="A94" s="2">
        <v>45890</v>
      </c>
      <c r="B94" t="s">
        <v>76</v>
      </c>
      <c r="C94" t="s">
        <v>80</v>
      </c>
      <c r="D94">
        <v>3</v>
      </c>
      <c r="E94">
        <v>15</v>
      </c>
      <c r="F94">
        <v>116.7</v>
      </c>
      <c r="G94">
        <v>3</v>
      </c>
      <c r="H94">
        <v>8</v>
      </c>
      <c r="I94" t="s">
        <v>1666</v>
      </c>
      <c r="J94">
        <v>5</v>
      </c>
      <c r="K94" t="str">
        <f>_xlfn.XLOOKUP(B94,zones_lookup!A:A,zones_lookup!B:B,"Not found")</f>
        <v>Mr. Adeyemi</v>
      </c>
      <c r="L94">
        <f>_xlfn.XLOOKUP(B94,zones_lookup!A:A,zones_lookup!C:C,"Not found")</f>
        <v>313000</v>
      </c>
    </row>
    <row r="95" spans="1:12" x14ac:dyDescent="0.3">
      <c r="A95" s="2">
        <v>45672</v>
      </c>
      <c r="B95" t="s">
        <v>41</v>
      </c>
      <c r="C95" t="s">
        <v>42</v>
      </c>
      <c r="D95">
        <v>2</v>
      </c>
      <c r="E95">
        <v>12.4</v>
      </c>
      <c r="F95">
        <v>75.5</v>
      </c>
      <c r="G95">
        <v>3</v>
      </c>
      <c r="H95">
        <v>1</v>
      </c>
      <c r="I95" t="s">
        <v>1660</v>
      </c>
      <c r="J95">
        <v>6.2</v>
      </c>
      <c r="K95" t="str">
        <f>_xlfn.XLOOKUP(B95,zones_lookup!A:A,zones_lookup!B:B,"Not found")</f>
        <v>Mrs. Adisa</v>
      </c>
      <c r="L95">
        <f>_xlfn.XLOOKUP(B95,zones_lookup!A:A,zones_lookup!C:C,"Not found")</f>
        <v>633000</v>
      </c>
    </row>
    <row r="96" spans="1:12" x14ac:dyDescent="0.3">
      <c r="A96" s="2">
        <v>45803</v>
      </c>
      <c r="B96" t="s">
        <v>60</v>
      </c>
      <c r="C96" t="s">
        <v>61</v>
      </c>
      <c r="D96">
        <v>5</v>
      </c>
      <c r="E96">
        <v>24.8</v>
      </c>
      <c r="F96">
        <v>187.9</v>
      </c>
      <c r="G96">
        <v>4</v>
      </c>
      <c r="H96">
        <v>5</v>
      </c>
      <c r="I96" t="s">
        <v>1663</v>
      </c>
      <c r="J96">
        <v>4.96</v>
      </c>
      <c r="K96" t="str">
        <f>_xlfn.XLOOKUP(B96,zones_lookup!A:A,zones_lookup!B:B,"Not found")</f>
        <v>Mrs. Eze</v>
      </c>
      <c r="L96">
        <f>_xlfn.XLOOKUP(B96,zones_lookup!A:A,zones_lookup!C:C,"Not found")</f>
        <v>535000</v>
      </c>
    </row>
    <row r="97" spans="1:12" x14ac:dyDescent="0.3">
      <c r="A97" s="2">
        <v>45846</v>
      </c>
      <c r="B97" t="s">
        <v>41</v>
      </c>
      <c r="C97" t="s">
        <v>73</v>
      </c>
      <c r="D97">
        <v>5</v>
      </c>
      <c r="E97">
        <v>29.8</v>
      </c>
      <c r="F97">
        <v>156</v>
      </c>
      <c r="G97">
        <v>2</v>
      </c>
      <c r="H97">
        <v>7</v>
      </c>
      <c r="I97" t="s">
        <v>1661</v>
      </c>
      <c r="J97">
        <v>5.96</v>
      </c>
      <c r="K97" t="str">
        <f>_xlfn.XLOOKUP(B97,zones_lookup!A:A,zones_lookup!B:B,"Not found")</f>
        <v>Mrs. Adisa</v>
      </c>
      <c r="L97">
        <f>_xlfn.XLOOKUP(B97,zones_lookup!A:A,zones_lookup!C:C,"Not found")</f>
        <v>633000</v>
      </c>
    </row>
    <row r="98" spans="1:12" x14ac:dyDescent="0.3">
      <c r="A98" s="2">
        <v>45970</v>
      </c>
      <c r="B98" t="s">
        <v>93</v>
      </c>
      <c r="C98" t="s">
        <v>57</v>
      </c>
      <c r="D98">
        <v>2</v>
      </c>
      <c r="E98">
        <v>8</v>
      </c>
      <c r="F98">
        <v>71.599999999999994</v>
      </c>
      <c r="G98">
        <v>0</v>
      </c>
      <c r="H98">
        <v>11</v>
      </c>
      <c r="I98" t="s">
        <v>1664</v>
      </c>
      <c r="J98">
        <v>4</v>
      </c>
      <c r="K98" t="str">
        <f>_xlfn.XLOOKUP(B98,zones_lookup!A:A,zones_lookup!B:B,"Not found")</f>
        <v>Mr. Ogunleye</v>
      </c>
      <c r="L98">
        <f>_xlfn.XLOOKUP(B98,zones_lookup!A:A,zones_lookup!C:C,"Not found")</f>
        <v>181000</v>
      </c>
    </row>
    <row r="99" spans="1:12" x14ac:dyDescent="0.3">
      <c r="A99" s="2">
        <v>45978</v>
      </c>
      <c r="B99" t="s">
        <v>76</v>
      </c>
      <c r="C99" t="s">
        <v>84</v>
      </c>
      <c r="D99">
        <v>2</v>
      </c>
      <c r="E99">
        <v>14.9</v>
      </c>
      <c r="F99">
        <v>83.7</v>
      </c>
      <c r="G99">
        <v>1</v>
      </c>
      <c r="H99">
        <v>11</v>
      </c>
      <c r="I99" t="s">
        <v>1664</v>
      </c>
      <c r="J99">
        <v>7.45</v>
      </c>
      <c r="K99" t="str">
        <f>_xlfn.XLOOKUP(B99,zones_lookup!A:A,zones_lookup!B:B,"Not found")</f>
        <v>Mr. Adeyemi</v>
      </c>
      <c r="L99">
        <f>_xlfn.XLOOKUP(B99,zones_lookup!A:A,zones_lookup!C:C,"Not found")</f>
        <v>313000</v>
      </c>
    </row>
    <row r="100" spans="1:12" x14ac:dyDescent="0.3">
      <c r="A100" s="2">
        <v>45696</v>
      </c>
      <c r="B100" t="s">
        <v>49</v>
      </c>
      <c r="C100" t="s">
        <v>52</v>
      </c>
      <c r="D100">
        <v>5</v>
      </c>
      <c r="E100">
        <v>19.600000000000001</v>
      </c>
      <c r="F100">
        <v>198</v>
      </c>
      <c r="G100">
        <v>1</v>
      </c>
      <c r="H100">
        <v>2</v>
      </c>
      <c r="I100" t="s">
        <v>1665</v>
      </c>
      <c r="J100">
        <v>3.9200000000000004</v>
      </c>
      <c r="K100" t="str">
        <f>_xlfn.XLOOKUP(B100,zones_lookup!A:A,zones_lookup!B:B,"Not found")</f>
        <v>Mrs. Johnson</v>
      </c>
      <c r="L100">
        <f>_xlfn.XLOOKUP(B100,zones_lookup!A:A,zones_lookup!C:C,"Not found")</f>
        <v>241000</v>
      </c>
    </row>
    <row r="101" spans="1:12" x14ac:dyDescent="0.3">
      <c r="A101" s="2">
        <v>45892</v>
      </c>
      <c r="B101" t="s">
        <v>27</v>
      </c>
      <c r="C101" t="s">
        <v>34</v>
      </c>
      <c r="D101">
        <v>3</v>
      </c>
      <c r="E101">
        <v>21.4</v>
      </c>
      <c r="F101">
        <v>106.6</v>
      </c>
      <c r="G101">
        <v>0</v>
      </c>
      <c r="H101">
        <v>8</v>
      </c>
      <c r="I101" t="s">
        <v>1666</v>
      </c>
      <c r="J101">
        <v>7.1333333333333329</v>
      </c>
      <c r="K101" t="str">
        <f>_xlfn.XLOOKUP(B101,zones_lookup!A:A,zones_lookup!B:B,"Not found")</f>
        <v>Mr. Bello</v>
      </c>
      <c r="L101">
        <f>_xlfn.XLOOKUP(B101,zones_lookup!A:A,zones_lookup!C:C,"Not found")</f>
        <v>1288000</v>
      </c>
    </row>
    <row r="102" spans="1:12" x14ac:dyDescent="0.3">
      <c r="A102" s="2">
        <v>45852</v>
      </c>
      <c r="B102" t="s">
        <v>60</v>
      </c>
      <c r="C102" t="s">
        <v>61</v>
      </c>
      <c r="D102">
        <v>4</v>
      </c>
      <c r="E102">
        <v>17.100000000000001</v>
      </c>
      <c r="F102">
        <v>165.6</v>
      </c>
      <c r="G102">
        <v>5</v>
      </c>
      <c r="H102">
        <v>7</v>
      </c>
      <c r="I102" t="s">
        <v>1661</v>
      </c>
      <c r="J102">
        <v>4.2750000000000004</v>
      </c>
      <c r="K102" t="str">
        <f>_xlfn.XLOOKUP(B102,zones_lookup!A:A,zones_lookup!B:B,"Not found")</f>
        <v>Mrs. Eze</v>
      </c>
      <c r="L102">
        <f>_xlfn.XLOOKUP(B102,zones_lookup!A:A,zones_lookup!C:C,"Not found")</f>
        <v>535000</v>
      </c>
    </row>
    <row r="103" spans="1:12" x14ac:dyDescent="0.3">
      <c r="A103" s="2">
        <v>45948</v>
      </c>
      <c r="B103" t="s">
        <v>76</v>
      </c>
      <c r="C103" t="s">
        <v>77</v>
      </c>
      <c r="D103">
        <v>3</v>
      </c>
      <c r="E103">
        <v>19.2</v>
      </c>
      <c r="F103">
        <v>103.8</v>
      </c>
      <c r="G103">
        <v>1</v>
      </c>
      <c r="H103">
        <v>10</v>
      </c>
      <c r="I103" t="s">
        <v>1669</v>
      </c>
      <c r="J103">
        <v>6.3999999999999995</v>
      </c>
      <c r="K103" t="str">
        <f>_xlfn.XLOOKUP(B103,zones_lookup!A:A,zones_lookup!B:B,"Not found")</f>
        <v>Mr. Adeyemi</v>
      </c>
      <c r="L103">
        <f>_xlfn.XLOOKUP(B103,zones_lookup!A:A,zones_lookup!C:C,"Not found")</f>
        <v>313000</v>
      </c>
    </row>
    <row r="104" spans="1:12" x14ac:dyDescent="0.3">
      <c r="A104" s="2">
        <v>45874</v>
      </c>
      <c r="B104" t="s">
        <v>49</v>
      </c>
      <c r="C104" t="s">
        <v>52</v>
      </c>
      <c r="D104">
        <v>6</v>
      </c>
      <c r="E104">
        <v>17</v>
      </c>
      <c r="F104">
        <v>246.4</v>
      </c>
      <c r="G104">
        <v>4</v>
      </c>
      <c r="H104">
        <v>8</v>
      </c>
      <c r="I104" t="s">
        <v>1666</v>
      </c>
      <c r="J104">
        <v>2.8333333333333335</v>
      </c>
      <c r="K104" t="str">
        <f>_xlfn.XLOOKUP(B104,zones_lookup!A:A,zones_lookup!B:B,"Not found")</f>
        <v>Mrs. Johnson</v>
      </c>
      <c r="L104">
        <f>_xlfn.XLOOKUP(B104,zones_lookup!A:A,zones_lookup!C:C,"Not found")</f>
        <v>241000</v>
      </c>
    </row>
    <row r="105" spans="1:12" x14ac:dyDescent="0.3">
      <c r="A105" s="2">
        <v>45690</v>
      </c>
      <c r="B105" t="s">
        <v>49</v>
      </c>
      <c r="C105" t="s">
        <v>52</v>
      </c>
      <c r="D105">
        <v>3</v>
      </c>
      <c r="E105">
        <v>9.1999999999999993</v>
      </c>
      <c r="F105">
        <v>102.7</v>
      </c>
      <c r="G105">
        <v>6</v>
      </c>
      <c r="H105">
        <v>2</v>
      </c>
      <c r="I105" t="s">
        <v>1665</v>
      </c>
      <c r="J105">
        <v>3.0666666666666664</v>
      </c>
      <c r="K105" t="str">
        <f>_xlfn.XLOOKUP(B105,zones_lookup!A:A,zones_lookup!B:B,"Not found")</f>
        <v>Mrs. Johnson</v>
      </c>
      <c r="L105">
        <f>_xlfn.XLOOKUP(B105,zones_lookup!A:A,zones_lookup!C:C,"Not found")</f>
        <v>241000</v>
      </c>
    </row>
    <row r="106" spans="1:12" x14ac:dyDescent="0.3">
      <c r="A106" s="2">
        <v>45730</v>
      </c>
      <c r="B106" t="s">
        <v>49</v>
      </c>
      <c r="C106" t="s">
        <v>50</v>
      </c>
      <c r="D106">
        <v>5</v>
      </c>
      <c r="E106">
        <v>19.899999999999999</v>
      </c>
      <c r="F106">
        <v>167.4</v>
      </c>
      <c r="G106">
        <v>2</v>
      </c>
      <c r="H106">
        <v>3</v>
      </c>
      <c r="I106" t="s">
        <v>1662</v>
      </c>
      <c r="J106">
        <v>3.9799999999999995</v>
      </c>
      <c r="K106" t="str">
        <f>_xlfn.XLOOKUP(B106,zones_lookup!A:A,zones_lookup!B:B,"Not found")</f>
        <v>Mrs. Johnson</v>
      </c>
      <c r="L106">
        <f>_xlfn.XLOOKUP(B106,zones_lookup!A:A,zones_lookup!C:C,"Not found")</f>
        <v>241000</v>
      </c>
    </row>
    <row r="107" spans="1:12" x14ac:dyDescent="0.3">
      <c r="A107" s="2">
        <v>45842</v>
      </c>
      <c r="B107" t="s">
        <v>93</v>
      </c>
      <c r="C107" t="s">
        <v>57</v>
      </c>
      <c r="D107">
        <v>5</v>
      </c>
      <c r="E107">
        <v>20.100000000000001</v>
      </c>
      <c r="F107">
        <v>197.7</v>
      </c>
      <c r="G107">
        <v>6</v>
      </c>
      <c r="H107">
        <v>7</v>
      </c>
      <c r="I107" t="s">
        <v>1661</v>
      </c>
      <c r="J107">
        <v>4.0200000000000005</v>
      </c>
      <c r="K107" t="str">
        <f>_xlfn.XLOOKUP(B107,zones_lookup!A:A,zones_lookup!B:B,"Not found")</f>
        <v>Mr. Ogunleye</v>
      </c>
      <c r="L107">
        <f>_xlfn.XLOOKUP(B107,zones_lookup!A:A,zones_lookup!C:C,"Not found")</f>
        <v>181000</v>
      </c>
    </row>
    <row r="108" spans="1:12" x14ac:dyDescent="0.3">
      <c r="A108" s="2">
        <v>45966</v>
      </c>
      <c r="B108" t="s">
        <v>93</v>
      </c>
      <c r="C108" t="s">
        <v>101</v>
      </c>
      <c r="D108">
        <v>5</v>
      </c>
      <c r="E108">
        <v>20.8</v>
      </c>
      <c r="F108">
        <v>170.8</v>
      </c>
      <c r="G108">
        <v>3</v>
      </c>
      <c r="H108">
        <v>11</v>
      </c>
      <c r="I108" t="s">
        <v>1664</v>
      </c>
      <c r="J108">
        <v>4.16</v>
      </c>
      <c r="K108" t="str">
        <f>_xlfn.XLOOKUP(B108,zones_lookup!A:A,zones_lookup!B:B,"Not found")</f>
        <v>Mr. Ogunleye</v>
      </c>
      <c r="L108">
        <f>_xlfn.XLOOKUP(B108,zones_lookup!A:A,zones_lookup!C:C,"Not found")</f>
        <v>181000</v>
      </c>
    </row>
    <row r="109" spans="1:12" x14ac:dyDescent="0.3">
      <c r="A109" s="2">
        <v>45963</v>
      </c>
      <c r="B109" t="s">
        <v>60</v>
      </c>
      <c r="C109" t="s">
        <v>61</v>
      </c>
      <c r="D109">
        <v>6</v>
      </c>
      <c r="E109">
        <v>25.8</v>
      </c>
      <c r="F109">
        <v>226.9</v>
      </c>
      <c r="G109">
        <v>1</v>
      </c>
      <c r="H109">
        <v>11</v>
      </c>
      <c r="I109" t="s">
        <v>1664</v>
      </c>
      <c r="J109">
        <v>4.3</v>
      </c>
      <c r="K109" t="str">
        <f>_xlfn.XLOOKUP(B109,zones_lookup!A:A,zones_lookup!B:B,"Not found")</f>
        <v>Mrs. Eze</v>
      </c>
      <c r="L109">
        <f>_xlfn.XLOOKUP(B109,zones_lookup!A:A,zones_lookup!C:C,"Not found")</f>
        <v>535000</v>
      </c>
    </row>
    <row r="110" spans="1:12" x14ac:dyDescent="0.3">
      <c r="A110" s="2">
        <v>45806</v>
      </c>
      <c r="B110" t="s">
        <v>93</v>
      </c>
      <c r="C110" t="s">
        <v>57</v>
      </c>
      <c r="D110">
        <v>4</v>
      </c>
      <c r="E110">
        <v>15.8</v>
      </c>
      <c r="F110">
        <v>117.4</v>
      </c>
      <c r="G110">
        <v>3</v>
      </c>
      <c r="H110">
        <v>5</v>
      </c>
      <c r="I110" t="s">
        <v>1663</v>
      </c>
      <c r="J110">
        <v>3.95</v>
      </c>
      <c r="K110" t="str">
        <f>_xlfn.XLOOKUP(B110,zones_lookup!A:A,zones_lookup!B:B,"Not found")</f>
        <v>Mr. Ogunleye</v>
      </c>
      <c r="L110">
        <f>_xlfn.XLOOKUP(B110,zones_lookup!A:A,zones_lookup!C:C,"Not found")</f>
        <v>181000</v>
      </c>
    </row>
    <row r="111" spans="1:12" x14ac:dyDescent="0.3">
      <c r="A111" s="2">
        <v>45827</v>
      </c>
      <c r="B111" t="s">
        <v>108</v>
      </c>
      <c r="C111" t="s">
        <v>109</v>
      </c>
      <c r="D111">
        <v>5</v>
      </c>
      <c r="E111">
        <v>34.200000000000003</v>
      </c>
      <c r="F111">
        <v>165.2</v>
      </c>
      <c r="G111">
        <v>3</v>
      </c>
      <c r="H111">
        <v>6</v>
      </c>
      <c r="I111" t="s">
        <v>1667</v>
      </c>
      <c r="J111">
        <v>6.8400000000000007</v>
      </c>
      <c r="K111" t="str">
        <f>_xlfn.XLOOKUP(B111,zones_lookup!A:A,zones_lookup!B:B,"Not found")</f>
        <v>Mrs. Okafor</v>
      </c>
      <c r="L111">
        <f>_xlfn.XLOOKUP(B111,zones_lookup!A:A,zones_lookup!C:C,"Not found")</f>
        <v>503000</v>
      </c>
    </row>
    <row r="112" spans="1:12" x14ac:dyDescent="0.3">
      <c r="A112" s="2">
        <v>45991</v>
      </c>
      <c r="B112" t="s">
        <v>60</v>
      </c>
      <c r="C112" t="s">
        <v>69</v>
      </c>
      <c r="D112">
        <v>4</v>
      </c>
      <c r="E112">
        <v>17.8</v>
      </c>
      <c r="F112">
        <v>159.30000000000001</v>
      </c>
      <c r="G112">
        <v>4</v>
      </c>
      <c r="H112">
        <v>11</v>
      </c>
      <c r="I112" t="s">
        <v>1664</v>
      </c>
      <c r="J112">
        <v>4.45</v>
      </c>
      <c r="K112" t="str">
        <f>_xlfn.XLOOKUP(B112,zones_lookup!A:A,zones_lookup!B:B,"Not found")</f>
        <v>Mrs. Eze</v>
      </c>
      <c r="L112">
        <f>_xlfn.XLOOKUP(B112,zones_lookup!A:A,zones_lookup!C:C,"Not found")</f>
        <v>535000</v>
      </c>
    </row>
    <row r="113" spans="1:12" x14ac:dyDescent="0.3">
      <c r="A113" s="2">
        <v>45956</v>
      </c>
      <c r="B113" t="s">
        <v>89</v>
      </c>
      <c r="C113" t="s">
        <v>131</v>
      </c>
      <c r="D113">
        <v>4</v>
      </c>
      <c r="E113">
        <v>20.9</v>
      </c>
      <c r="F113">
        <v>157.1</v>
      </c>
      <c r="G113">
        <v>1</v>
      </c>
      <c r="H113">
        <v>10</v>
      </c>
      <c r="I113" t="s">
        <v>1669</v>
      </c>
      <c r="J113">
        <v>5.2249999999999996</v>
      </c>
      <c r="K113" t="str">
        <f>_xlfn.XLOOKUP(B113,zones_lookup!A:A,zones_lookup!B:B,"Not found")</f>
        <v>Mr. Salami</v>
      </c>
      <c r="L113">
        <f>_xlfn.XLOOKUP(B113,zones_lookup!A:A,zones_lookup!C:C,"Not found")</f>
        <v>200000</v>
      </c>
    </row>
    <row r="114" spans="1:12" x14ac:dyDescent="0.3">
      <c r="A114" s="2">
        <v>45995</v>
      </c>
      <c r="B114" t="s">
        <v>108</v>
      </c>
      <c r="C114" t="s">
        <v>169</v>
      </c>
      <c r="D114">
        <v>4</v>
      </c>
      <c r="E114">
        <v>30.8</v>
      </c>
      <c r="F114">
        <v>151.30000000000001</v>
      </c>
      <c r="G114">
        <v>1</v>
      </c>
      <c r="H114">
        <v>12</v>
      </c>
      <c r="I114" t="s">
        <v>1671</v>
      </c>
      <c r="J114">
        <v>7.7</v>
      </c>
      <c r="K114" t="str">
        <f>_xlfn.XLOOKUP(B114,zones_lookup!A:A,zones_lookup!B:B,"Not found")</f>
        <v>Mrs. Okafor</v>
      </c>
      <c r="L114">
        <f>_xlfn.XLOOKUP(B114,zones_lookup!A:A,zones_lookup!C:C,"Not found")</f>
        <v>503000</v>
      </c>
    </row>
    <row r="115" spans="1:12" x14ac:dyDescent="0.3">
      <c r="A115" s="2">
        <v>45747</v>
      </c>
      <c r="B115" t="s">
        <v>93</v>
      </c>
      <c r="C115" t="s">
        <v>101</v>
      </c>
      <c r="D115">
        <v>3</v>
      </c>
      <c r="E115">
        <v>11.1</v>
      </c>
      <c r="F115">
        <v>101.7</v>
      </c>
      <c r="G115">
        <v>1</v>
      </c>
      <c r="H115">
        <v>3</v>
      </c>
      <c r="I115" t="s">
        <v>1662</v>
      </c>
      <c r="J115">
        <v>3.6999999999999997</v>
      </c>
      <c r="K115" t="str">
        <f>_xlfn.XLOOKUP(B115,zones_lookup!A:A,zones_lookup!B:B,"Not found")</f>
        <v>Mr. Ogunleye</v>
      </c>
      <c r="L115">
        <f>_xlfn.XLOOKUP(B115,zones_lookup!A:A,zones_lookup!C:C,"Not found")</f>
        <v>181000</v>
      </c>
    </row>
    <row r="116" spans="1:12" x14ac:dyDescent="0.3">
      <c r="A116" s="2">
        <v>45973</v>
      </c>
      <c r="B116" t="s">
        <v>93</v>
      </c>
      <c r="C116" t="s">
        <v>101</v>
      </c>
      <c r="D116">
        <v>2</v>
      </c>
      <c r="E116">
        <v>7.8</v>
      </c>
      <c r="F116">
        <v>91.5</v>
      </c>
      <c r="G116">
        <v>0</v>
      </c>
      <c r="H116">
        <v>11</v>
      </c>
      <c r="I116" t="s">
        <v>1664</v>
      </c>
      <c r="J116">
        <v>3.9</v>
      </c>
      <c r="K116" t="str">
        <f>_xlfn.XLOOKUP(B116,zones_lookup!A:A,zones_lookup!B:B,"Not found")</f>
        <v>Mr. Ogunleye</v>
      </c>
      <c r="L116">
        <f>_xlfn.XLOOKUP(B116,zones_lookup!A:A,zones_lookup!C:C,"Not found")</f>
        <v>181000</v>
      </c>
    </row>
    <row r="117" spans="1:12" x14ac:dyDescent="0.3">
      <c r="A117" s="2">
        <v>45901</v>
      </c>
      <c r="B117" t="s">
        <v>60</v>
      </c>
      <c r="C117" t="s">
        <v>64</v>
      </c>
      <c r="D117">
        <v>3</v>
      </c>
      <c r="E117">
        <v>12.5</v>
      </c>
      <c r="F117">
        <v>110.9</v>
      </c>
      <c r="G117">
        <v>3</v>
      </c>
      <c r="H117">
        <v>9</v>
      </c>
      <c r="I117" t="s">
        <v>1670</v>
      </c>
      <c r="J117">
        <v>4.166666666666667</v>
      </c>
      <c r="K117" t="str">
        <f>_xlfn.XLOOKUP(B117,zones_lookup!A:A,zones_lookup!B:B,"Not found")</f>
        <v>Mrs. Eze</v>
      </c>
      <c r="L117">
        <f>_xlfn.XLOOKUP(B117,zones_lookup!A:A,zones_lookup!C:C,"Not found")</f>
        <v>535000</v>
      </c>
    </row>
    <row r="118" spans="1:12" x14ac:dyDescent="0.3">
      <c r="A118" s="2">
        <v>45959</v>
      </c>
      <c r="B118" t="s">
        <v>108</v>
      </c>
      <c r="C118" t="s">
        <v>169</v>
      </c>
      <c r="D118">
        <v>4</v>
      </c>
      <c r="F118">
        <v>135.19999999999999</v>
      </c>
      <c r="G118">
        <v>0</v>
      </c>
      <c r="H118">
        <v>10</v>
      </c>
      <c r="I118" t="s">
        <v>1669</v>
      </c>
      <c r="K118" t="str">
        <f>_xlfn.XLOOKUP(B118,zones_lookup!A:A,zones_lookup!B:B,"Not found")</f>
        <v>Mrs. Okafor</v>
      </c>
      <c r="L118">
        <f>_xlfn.XLOOKUP(B118,zones_lookup!A:A,zones_lookup!C:C,"Not found")</f>
        <v>503000</v>
      </c>
    </row>
    <row r="119" spans="1:12" x14ac:dyDescent="0.3">
      <c r="A119" s="2">
        <v>45731</v>
      </c>
      <c r="B119" t="s">
        <v>76</v>
      </c>
      <c r="C119" t="s">
        <v>80</v>
      </c>
      <c r="D119">
        <v>5</v>
      </c>
      <c r="E119">
        <v>29</v>
      </c>
      <c r="F119">
        <v>161</v>
      </c>
      <c r="G119">
        <v>0</v>
      </c>
      <c r="H119">
        <v>3</v>
      </c>
      <c r="I119" t="s">
        <v>1662</v>
      </c>
      <c r="J119">
        <v>5.8</v>
      </c>
      <c r="K119" t="str">
        <f>_xlfn.XLOOKUP(B119,zones_lookup!A:A,zones_lookup!B:B,"Not found")</f>
        <v>Mr. Adeyemi</v>
      </c>
      <c r="L119">
        <f>_xlfn.XLOOKUP(B119,zones_lookup!A:A,zones_lookup!C:C,"Not found")</f>
        <v>313000</v>
      </c>
    </row>
    <row r="120" spans="1:12" x14ac:dyDescent="0.3">
      <c r="A120" s="2">
        <v>45939</v>
      </c>
      <c r="B120" t="s">
        <v>76</v>
      </c>
      <c r="C120" t="s">
        <v>84</v>
      </c>
      <c r="D120">
        <v>4</v>
      </c>
      <c r="E120">
        <v>25.8</v>
      </c>
      <c r="F120">
        <v>131.69999999999999</v>
      </c>
      <c r="G120">
        <v>1</v>
      </c>
      <c r="H120">
        <v>10</v>
      </c>
      <c r="I120" t="s">
        <v>1669</v>
      </c>
      <c r="J120">
        <v>6.45</v>
      </c>
      <c r="K120" t="str">
        <f>_xlfn.XLOOKUP(B120,zones_lookup!A:A,zones_lookup!B:B,"Not found")</f>
        <v>Mr. Adeyemi</v>
      </c>
      <c r="L120">
        <f>_xlfn.XLOOKUP(B120,zones_lookup!A:A,zones_lookup!C:C,"Not found")</f>
        <v>313000</v>
      </c>
    </row>
    <row r="121" spans="1:12" x14ac:dyDescent="0.3">
      <c r="A121" s="2">
        <v>45722</v>
      </c>
      <c r="B121" t="s">
        <v>76</v>
      </c>
      <c r="C121" t="s">
        <v>77</v>
      </c>
      <c r="D121">
        <v>2</v>
      </c>
      <c r="E121">
        <v>12.1</v>
      </c>
      <c r="G121">
        <v>1</v>
      </c>
      <c r="H121">
        <v>3</v>
      </c>
      <c r="I121" t="s">
        <v>1662</v>
      </c>
      <c r="J121">
        <v>6.05</v>
      </c>
      <c r="K121" t="str">
        <f>_xlfn.XLOOKUP(B121,zones_lookup!A:A,zones_lookup!B:B,"Not found")</f>
        <v>Mr. Adeyemi</v>
      </c>
      <c r="L121">
        <f>_xlfn.XLOOKUP(B121,zones_lookup!A:A,zones_lookup!C:C,"Not found")</f>
        <v>313000</v>
      </c>
    </row>
    <row r="122" spans="1:12" x14ac:dyDescent="0.3">
      <c r="A122" s="2">
        <v>45926</v>
      </c>
      <c r="B122" t="s">
        <v>93</v>
      </c>
      <c r="C122" t="s">
        <v>101</v>
      </c>
      <c r="D122">
        <v>5</v>
      </c>
      <c r="E122">
        <v>14.2</v>
      </c>
      <c r="F122">
        <v>181.3</v>
      </c>
      <c r="G122">
        <v>3</v>
      </c>
      <c r="H122">
        <v>9</v>
      </c>
      <c r="I122" t="s">
        <v>1670</v>
      </c>
      <c r="J122">
        <v>2.84</v>
      </c>
      <c r="K122" t="str">
        <f>_xlfn.XLOOKUP(B122,zones_lookup!A:A,zones_lookup!B:B,"Not found")</f>
        <v>Mr. Ogunleye</v>
      </c>
      <c r="L122">
        <f>_xlfn.XLOOKUP(B122,zones_lookup!A:A,zones_lookup!C:C,"Not found")</f>
        <v>181000</v>
      </c>
    </row>
    <row r="123" spans="1:12" x14ac:dyDescent="0.3">
      <c r="A123" s="2">
        <v>45726</v>
      </c>
      <c r="B123" t="s">
        <v>89</v>
      </c>
      <c r="C123" t="s">
        <v>90</v>
      </c>
      <c r="D123">
        <v>5</v>
      </c>
      <c r="E123">
        <v>32.700000000000003</v>
      </c>
      <c r="F123">
        <v>202</v>
      </c>
      <c r="G123">
        <v>1</v>
      </c>
      <c r="H123">
        <v>3</v>
      </c>
      <c r="I123" t="s">
        <v>1662</v>
      </c>
      <c r="J123">
        <v>6.5400000000000009</v>
      </c>
      <c r="K123" t="str">
        <f>_xlfn.XLOOKUP(B123,zones_lookup!A:A,zones_lookup!B:B,"Not found")</f>
        <v>Mr. Salami</v>
      </c>
      <c r="L123">
        <f>_xlfn.XLOOKUP(B123,zones_lookup!A:A,zones_lookup!C:C,"Not found")</f>
        <v>200000</v>
      </c>
    </row>
    <row r="124" spans="1:12" x14ac:dyDescent="0.3">
      <c r="A124" s="2">
        <v>45692</v>
      </c>
      <c r="B124" t="s">
        <v>49</v>
      </c>
      <c r="C124" t="s">
        <v>52</v>
      </c>
      <c r="D124">
        <v>5</v>
      </c>
      <c r="E124">
        <v>12.3</v>
      </c>
      <c r="F124">
        <v>220.6</v>
      </c>
      <c r="G124">
        <v>2</v>
      </c>
      <c r="H124">
        <v>2</v>
      </c>
      <c r="I124" t="s">
        <v>1665</v>
      </c>
      <c r="J124">
        <v>2.46</v>
      </c>
      <c r="K124" t="str">
        <f>_xlfn.XLOOKUP(B124,zones_lookup!A:A,zones_lookup!B:B,"Not found")</f>
        <v>Mrs. Johnson</v>
      </c>
      <c r="L124">
        <f>_xlfn.XLOOKUP(B124,zones_lookup!A:A,zones_lookup!C:C,"Not found")</f>
        <v>241000</v>
      </c>
    </row>
    <row r="125" spans="1:12" x14ac:dyDescent="0.3">
      <c r="A125" s="2">
        <v>45804</v>
      </c>
      <c r="B125" t="s">
        <v>76</v>
      </c>
      <c r="C125" t="s">
        <v>84</v>
      </c>
      <c r="D125">
        <v>6</v>
      </c>
      <c r="E125">
        <v>41.7</v>
      </c>
      <c r="F125">
        <v>236</v>
      </c>
      <c r="G125">
        <v>3</v>
      </c>
      <c r="H125">
        <v>5</v>
      </c>
      <c r="I125" t="s">
        <v>1663</v>
      </c>
      <c r="J125">
        <v>6.95</v>
      </c>
      <c r="K125" t="str">
        <f>_xlfn.XLOOKUP(B125,zones_lookup!A:A,zones_lookup!B:B,"Not found")</f>
        <v>Mr. Adeyemi</v>
      </c>
      <c r="L125">
        <f>_xlfn.XLOOKUP(B125,zones_lookup!A:A,zones_lookup!C:C,"Not found")</f>
        <v>313000</v>
      </c>
    </row>
    <row r="126" spans="1:12" x14ac:dyDescent="0.3">
      <c r="A126" s="2">
        <v>45852</v>
      </c>
      <c r="B126" t="s">
        <v>41</v>
      </c>
      <c r="C126" t="s">
        <v>66</v>
      </c>
      <c r="D126">
        <v>3</v>
      </c>
      <c r="E126">
        <v>17.100000000000001</v>
      </c>
      <c r="F126">
        <v>99.6</v>
      </c>
      <c r="G126">
        <v>1</v>
      </c>
      <c r="H126">
        <v>7</v>
      </c>
      <c r="I126" t="s">
        <v>1661</v>
      </c>
      <c r="J126">
        <v>5.7</v>
      </c>
      <c r="K126" t="str">
        <f>_xlfn.XLOOKUP(B126,zones_lookup!A:A,zones_lookup!B:B,"Not found")</f>
        <v>Mrs. Adisa</v>
      </c>
      <c r="L126">
        <f>_xlfn.XLOOKUP(B126,zones_lookup!A:A,zones_lookup!C:C,"Not found")</f>
        <v>633000</v>
      </c>
    </row>
    <row r="127" spans="1:12" x14ac:dyDescent="0.3">
      <c r="A127" s="2">
        <v>45804</v>
      </c>
      <c r="B127" t="s">
        <v>108</v>
      </c>
      <c r="C127" t="s">
        <v>109</v>
      </c>
      <c r="D127">
        <v>2</v>
      </c>
      <c r="E127">
        <v>11.4</v>
      </c>
      <c r="F127">
        <v>81.599999999999994</v>
      </c>
      <c r="G127">
        <v>1</v>
      </c>
      <c r="H127">
        <v>5</v>
      </c>
      <c r="I127" t="s">
        <v>1663</v>
      </c>
      <c r="J127">
        <v>5.7</v>
      </c>
      <c r="K127" t="str">
        <f>_xlfn.XLOOKUP(B127,zones_lookup!A:A,zones_lookup!B:B,"Not found")</f>
        <v>Mrs. Okafor</v>
      </c>
      <c r="L127">
        <f>_xlfn.XLOOKUP(B127,zones_lookup!A:A,zones_lookup!C:C,"Not found")</f>
        <v>503000</v>
      </c>
    </row>
    <row r="128" spans="1:12" x14ac:dyDescent="0.3">
      <c r="A128" s="2">
        <v>45839</v>
      </c>
      <c r="B128" t="s">
        <v>60</v>
      </c>
      <c r="C128" t="s">
        <v>64</v>
      </c>
      <c r="D128">
        <v>5</v>
      </c>
      <c r="E128">
        <v>17.2</v>
      </c>
      <c r="F128">
        <v>198</v>
      </c>
      <c r="G128">
        <v>2</v>
      </c>
      <c r="H128">
        <v>7</v>
      </c>
      <c r="I128" t="s">
        <v>1661</v>
      </c>
      <c r="J128">
        <v>3.44</v>
      </c>
      <c r="K128" t="str">
        <f>_xlfn.XLOOKUP(B128,zones_lookup!A:A,zones_lookup!B:B,"Not found")</f>
        <v>Mrs. Eze</v>
      </c>
      <c r="L128">
        <f>_xlfn.XLOOKUP(B128,zones_lookup!A:A,zones_lookup!C:C,"Not found")</f>
        <v>535000</v>
      </c>
    </row>
    <row r="129" spans="1:12" x14ac:dyDescent="0.3">
      <c r="A129" s="2">
        <v>45815</v>
      </c>
      <c r="B129" t="s">
        <v>60</v>
      </c>
      <c r="C129" t="s">
        <v>69</v>
      </c>
      <c r="D129">
        <v>4</v>
      </c>
      <c r="E129">
        <v>14.1</v>
      </c>
      <c r="F129">
        <v>150.1</v>
      </c>
      <c r="G129">
        <v>1</v>
      </c>
      <c r="H129">
        <v>6</v>
      </c>
      <c r="I129" t="s">
        <v>1667</v>
      </c>
      <c r="J129">
        <v>3.5249999999999999</v>
      </c>
      <c r="K129" t="str">
        <f>_xlfn.XLOOKUP(B129,zones_lookup!A:A,zones_lookup!B:B,"Not found")</f>
        <v>Mrs. Eze</v>
      </c>
      <c r="L129">
        <f>_xlfn.XLOOKUP(B129,zones_lookup!A:A,zones_lookup!C:C,"Not found")</f>
        <v>535000</v>
      </c>
    </row>
    <row r="130" spans="1:12" x14ac:dyDescent="0.3">
      <c r="A130" s="2">
        <v>45920</v>
      </c>
      <c r="B130" t="s">
        <v>93</v>
      </c>
      <c r="C130" t="s">
        <v>101</v>
      </c>
      <c r="D130">
        <v>2</v>
      </c>
      <c r="E130">
        <v>6.6</v>
      </c>
      <c r="F130">
        <v>74.7</v>
      </c>
      <c r="G130">
        <v>3</v>
      </c>
      <c r="H130">
        <v>9</v>
      </c>
      <c r="I130" t="s">
        <v>1670</v>
      </c>
      <c r="J130">
        <v>3.3</v>
      </c>
      <c r="K130" t="str">
        <f>_xlfn.XLOOKUP(B130,zones_lookup!A:A,zones_lookup!B:B,"Not found")</f>
        <v>Mr. Ogunleye</v>
      </c>
      <c r="L130">
        <f>_xlfn.XLOOKUP(B130,zones_lookup!A:A,zones_lookup!C:C,"Not found")</f>
        <v>181000</v>
      </c>
    </row>
    <row r="131" spans="1:12" x14ac:dyDescent="0.3">
      <c r="A131" s="2">
        <v>46018</v>
      </c>
      <c r="B131" t="s">
        <v>41</v>
      </c>
      <c r="C131" t="s">
        <v>42</v>
      </c>
      <c r="D131">
        <v>2</v>
      </c>
      <c r="E131">
        <v>19.5</v>
      </c>
      <c r="F131">
        <v>81.5</v>
      </c>
      <c r="G131">
        <v>2</v>
      </c>
      <c r="H131">
        <v>12</v>
      </c>
      <c r="I131" t="s">
        <v>1671</v>
      </c>
      <c r="J131">
        <v>9.75</v>
      </c>
      <c r="K131" t="str">
        <f>_xlfn.XLOOKUP(B131,zones_lookup!A:A,zones_lookup!B:B,"Not found")</f>
        <v>Mrs. Adisa</v>
      </c>
      <c r="L131">
        <f>_xlfn.XLOOKUP(B131,zones_lookup!A:A,zones_lookup!C:C,"Not found")</f>
        <v>633000</v>
      </c>
    </row>
    <row r="132" spans="1:12" x14ac:dyDescent="0.3">
      <c r="A132" s="2">
        <v>45927</v>
      </c>
      <c r="B132" t="s">
        <v>108</v>
      </c>
      <c r="C132" t="s">
        <v>109</v>
      </c>
      <c r="D132">
        <v>6</v>
      </c>
      <c r="E132">
        <v>32.299999999999997</v>
      </c>
      <c r="F132">
        <v>235.8</v>
      </c>
      <c r="G132">
        <v>0</v>
      </c>
      <c r="H132">
        <v>9</v>
      </c>
      <c r="I132" t="s">
        <v>1670</v>
      </c>
      <c r="J132">
        <v>5.3833333333333329</v>
      </c>
      <c r="K132" t="str">
        <f>_xlfn.XLOOKUP(B132,zones_lookup!A:A,zones_lookup!B:B,"Not found")</f>
        <v>Mrs. Okafor</v>
      </c>
      <c r="L132">
        <f>_xlfn.XLOOKUP(B132,zones_lookup!A:A,zones_lookup!C:C,"Not found")</f>
        <v>503000</v>
      </c>
    </row>
    <row r="133" spans="1:12" x14ac:dyDescent="0.3">
      <c r="A133" s="2">
        <v>45729</v>
      </c>
      <c r="B133" t="s">
        <v>49</v>
      </c>
      <c r="C133" t="s">
        <v>52</v>
      </c>
      <c r="D133">
        <v>5</v>
      </c>
      <c r="E133">
        <v>17.5</v>
      </c>
      <c r="F133">
        <v>172.9</v>
      </c>
      <c r="G133">
        <v>3</v>
      </c>
      <c r="H133">
        <v>3</v>
      </c>
      <c r="I133" t="s">
        <v>1662</v>
      </c>
      <c r="J133">
        <v>3.5</v>
      </c>
      <c r="K133" t="str">
        <f>_xlfn.XLOOKUP(B133,zones_lookup!A:A,zones_lookup!B:B,"Not found")</f>
        <v>Mrs. Johnson</v>
      </c>
      <c r="L133">
        <f>_xlfn.XLOOKUP(B133,zones_lookup!A:A,zones_lookup!C:C,"Not found")</f>
        <v>241000</v>
      </c>
    </row>
    <row r="134" spans="1:12" x14ac:dyDescent="0.3">
      <c r="A134" s="2">
        <v>45913</v>
      </c>
      <c r="B134" t="s">
        <v>49</v>
      </c>
      <c r="C134" t="s">
        <v>50</v>
      </c>
      <c r="D134">
        <v>3</v>
      </c>
      <c r="E134">
        <v>11.1</v>
      </c>
      <c r="F134">
        <v>125.3</v>
      </c>
      <c r="G134">
        <v>1</v>
      </c>
      <c r="H134">
        <v>9</v>
      </c>
      <c r="I134" t="s">
        <v>1670</v>
      </c>
      <c r="J134">
        <v>3.6999999999999997</v>
      </c>
      <c r="K134" t="str">
        <f>_xlfn.XLOOKUP(B134,zones_lookup!A:A,zones_lookup!B:B,"Not found")</f>
        <v>Mrs. Johnson</v>
      </c>
      <c r="L134">
        <f>_xlfn.XLOOKUP(B134,zones_lookup!A:A,zones_lookup!C:C,"Not found")</f>
        <v>241000</v>
      </c>
    </row>
    <row r="135" spans="1:12" x14ac:dyDescent="0.3">
      <c r="A135" s="2">
        <v>45768</v>
      </c>
      <c r="B135" t="s">
        <v>41</v>
      </c>
      <c r="C135" t="s">
        <v>73</v>
      </c>
      <c r="D135">
        <v>3</v>
      </c>
      <c r="E135">
        <v>18.5</v>
      </c>
      <c r="F135">
        <v>106.6</v>
      </c>
      <c r="G135">
        <v>0</v>
      </c>
      <c r="H135">
        <v>4</v>
      </c>
      <c r="I135" t="s">
        <v>1668</v>
      </c>
      <c r="J135">
        <v>6.166666666666667</v>
      </c>
      <c r="K135" t="str">
        <f>_xlfn.XLOOKUP(B135,zones_lookup!A:A,zones_lookup!B:B,"Not found")</f>
        <v>Mrs. Adisa</v>
      </c>
      <c r="L135">
        <f>_xlfn.XLOOKUP(B135,zones_lookup!A:A,zones_lookup!C:C,"Not found")</f>
        <v>633000</v>
      </c>
    </row>
    <row r="136" spans="1:12" x14ac:dyDescent="0.3">
      <c r="A136" s="2">
        <v>45794</v>
      </c>
      <c r="B136" t="s">
        <v>76</v>
      </c>
      <c r="C136" t="s">
        <v>80</v>
      </c>
      <c r="D136">
        <v>6</v>
      </c>
      <c r="E136">
        <v>34.5</v>
      </c>
      <c r="F136">
        <v>263.7</v>
      </c>
      <c r="G136">
        <v>0</v>
      </c>
      <c r="H136">
        <v>5</v>
      </c>
      <c r="I136" t="s">
        <v>1663</v>
      </c>
      <c r="J136">
        <v>5.75</v>
      </c>
      <c r="K136" t="str">
        <f>_xlfn.XLOOKUP(B136,zones_lookup!A:A,zones_lookup!B:B,"Not found")</f>
        <v>Mr. Adeyemi</v>
      </c>
      <c r="L136">
        <f>_xlfn.XLOOKUP(B136,zones_lookup!A:A,zones_lookup!C:C,"Not found")</f>
        <v>313000</v>
      </c>
    </row>
    <row r="137" spans="1:12" x14ac:dyDescent="0.3">
      <c r="A137" s="2">
        <v>45680</v>
      </c>
      <c r="B137" t="s">
        <v>27</v>
      </c>
      <c r="C137" t="s">
        <v>28</v>
      </c>
      <c r="D137">
        <v>4</v>
      </c>
      <c r="E137">
        <v>22.9</v>
      </c>
      <c r="F137">
        <v>170.5</v>
      </c>
      <c r="G137">
        <v>1</v>
      </c>
      <c r="H137">
        <v>1</v>
      </c>
      <c r="I137" t="s">
        <v>1660</v>
      </c>
      <c r="J137">
        <v>5.7249999999999996</v>
      </c>
      <c r="K137" t="str">
        <f>_xlfn.XLOOKUP(B137,zones_lookup!A:A,zones_lookup!B:B,"Not found")</f>
        <v>Mr. Bello</v>
      </c>
      <c r="L137">
        <f>_xlfn.XLOOKUP(B137,zones_lookup!A:A,zones_lookup!C:C,"Not found")</f>
        <v>1288000</v>
      </c>
    </row>
    <row r="138" spans="1:12" x14ac:dyDescent="0.3">
      <c r="A138" s="2">
        <v>45968</v>
      </c>
      <c r="B138" t="s">
        <v>27</v>
      </c>
      <c r="C138" t="s">
        <v>38</v>
      </c>
      <c r="D138">
        <v>3</v>
      </c>
      <c r="E138">
        <v>26.4</v>
      </c>
      <c r="F138">
        <v>109.7</v>
      </c>
      <c r="G138">
        <v>3</v>
      </c>
      <c r="H138">
        <v>11</v>
      </c>
      <c r="I138" t="s">
        <v>1664</v>
      </c>
      <c r="J138">
        <v>8.7999999999999989</v>
      </c>
      <c r="K138" t="str">
        <f>_xlfn.XLOOKUP(B138,zones_lookup!A:A,zones_lookup!B:B,"Not found")</f>
        <v>Mr. Bello</v>
      </c>
      <c r="L138">
        <f>_xlfn.XLOOKUP(B138,zones_lookup!A:A,zones_lookup!C:C,"Not found")</f>
        <v>1288000</v>
      </c>
    </row>
    <row r="139" spans="1:12" x14ac:dyDescent="0.3">
      <c r="A139" s="2">
        <v>45948</v>
      </c>
      <c r="B139" t="s">
        <v>93</v>
      </c>
      <c r="C139" t="s">
        <v>57</v>
      </c>
      <c r="D139">
        <v>4</v>
      </c>
      <c r="E139">
        <v>16.5</v>
      </c>
      <c r="F139">
        <v>147.5</v>
      </c>
      <c r="G139">
        <v>6</v>
      </c>
      <c r="H139">
        <v>10</v>
      </c>
      <c r="I139" t="s">
        <v>1669</v>
      </c>
      <c r="J139">
        <v>4.125</v>
      </c>
      <c r="K139" t="str">
        <f>_xlfn.XLOOKUP(B139,zones_lookup!A:A,zones_lookup!B:B,"Not found")</f>
        <v>Mr. Ogunleye</v>
      </c>
      <c r="L139">
        <f>_xlfn.XLOOKUP(B139,zones_lookup!A:A,zones_lookup!C:C,"Not found")</f>
        <v>181000</v>
      </c>
    </row>
    <row r="140" spans="1:12" x14ac:dyDescent="0.3">
      <c r="A140" s="2">
        <v>45684</v>
      </c>
      <c r="B140" t="s">
        <v>41</v>
      </c>
      <c r="C140" t="s">
        <v>73</v>
      </c>
      <c r="D140">
        <v>6</v>
      </c>
      <c r="E140">
        <v>33.799999999999997</v>
      </c>
      <c r="F140">
        <v>288.89999999999998</v>
      </c>
      <c r="G140">
        <v>2</v>
      </c>
      <c r="H140">
        <v>1</v>
      </c>
      <c r="I140" t="s">
        <v>1660</v>
      </c>
      <c r="J140">
        <v>5.6333333333333329</v>
      </c>
      <c r="K140" t="str">
        <f>_xlfn.XLOOKUP(B140,zones_lookup!A:A,zones_lookup!B:B,"Not found")</f>
        <v>Mrs. Adisa</v>
      </c>
      <c r="L140">
        <f>_xlfn.XLOOKUP(B140,zones_lookup!A:A,zones_lookup!C:C,"Not found")</f>
        <v>633000</v>
      </c>
    </row>
    <row r="141" spans="1:12" x14ac:dyDescent="0.3">
      <c r="A141" s="2">
        <v>45930</v>
      </c>
      <c r="B141" t="s">
        <v>49</v>
      </c>
      <c r="C141" t="s">
        <v>52</v>
      </c>
      <c r="D141">
        <v>6</v>
      </c>
      <c r="E141">
        <v>31.6</v>
      </c>
      <c r="F141">
        <v>192.9</v>
      </c>
      <c r="G141">
        <v>2</v>
      </c>
      <c r="H141">
        <v>9</v>
      </c>
      <c r="I141" t="s">
        <v>1670</v>
      </c>
      <c r="J141">
        <v>5.2666666666666666</v>
      </c>
      <c r="K141" t="str">
        <f>_xlfn.XLOOKUP(B141,zones_lookup!A:A,zones_lookup!B:B,"Not found")</f>
        <v>Mrs. Johnson</v>
      </c>
      <c r="L141">
        <f>_xlfn.XLOOKUP(B141,zones_lookup!A:A,zones_lookup!C:C,"Not found")</f>
        <v>241000</v>
      </c>
    </row>
    <row r="142" spans="1:12" x14ac:dyDescent="0.3">
      <c r="A142" s="2">
        <v>45685</v>
      </c>
      <c r="B142" t="s">
        <v>89</v>
      </c>
      <c r="C142" t="s">
        <v>90</v>
      </c>
      <c r="D142">
        <v>6</v>
      </c>
      <c r="E142">
        <v>37.6</v>
      </c>
      <c r="G142">
        <v>3</v>
      </c>
      <c r="H142">
        <v>1</v>
      </c>
      <c r="I142" t="s">
        <v>1660</v>
      </c>
      <c r="J142">
        <v>6.2666666666666666</v>
      </c>
      <c r="K142" t="str">
        <f>_xlfn.XLOOKUP(B142,zones_lookup!A:A,zones_lookup!B:B,"Not found")</f>
        <v>Mr. Salami</v>
      </c>
      <c r="L142">
        <f>_xlfn.XLOOKUP(B142,zones_lookup!A:A,zones_lookup!C:C,"Not found")</f>
        <v>200000</v>
      </c>
    </row>
    <row r="143" spans="1:12" x14ac:dyDescent="0.3">
      <c r="A143" s="2">
        <v>46007</v>
      </c>
      <c r="B143" t="s">
        <v>76</v>
      </c>
      <c r="C143" t="s">
        <v>80</v>
      </c>
      <c r="D143">
        <v>6</v>
      </c>
      <c r="E143">
        <v>52</v>
      </c>
      <c r="F143">
        <v>226.9</v>
      </c>
      <c r="G143">
        <v>0</v>
      </c>
      <c r="H143">
        <v>12</v>
      </c>
      <c r="I143" t="s">
        <v>1671</v>
      </c>
      <c r="J143">
        <v>8.6666666666666661</v>
      </c>
      <c r="K143" t="str">
        <f>_xlfn.XLOOKUP(B143,zones_lookup!A:A,zones_lookup!B:B,"Not found")</f>
        <v>Mr. Adeyemi</v>
      </c>
      <c r="L143">
        <f>_xlfn.XLOOKUP(B143,zones_lookup!A:A,zones_lookup!C:C,"Not found")</f>
        <v>313000</v>
      </c>
    </row>
    <row r="144" spans="1:12" x14ac:dyDescent="0.3">
      <c r="A144" s="2">
        <v>45770</v>
      </c>
      <c r="B144" t="s">
        <v>93</v>
      </c>
      <c r="C144" t="s">
        <v>57</v>
      </c>
      <c r="D144">
        <v>4</v>
      </c>
      <c r="E144">
        <v>14</v>
      </c>
      <c r="F144">
        <v>156.1</v>
      </c>
      <c r="G144">
        <v>2</v>
      </c>
      <c r="H144">
        <v>4</v>
      </c>
      <c r="I144" t="s">
        <v>1668</v>
      </c>
      <c r="J144">
        <v>3.5</v>
      </c>
      <c r="K144" t="str">
        <f>_xlfn.XLOOKUP(B144,zones_lookup!A:A,zones_lookup!B:B,"Not found")</f>
        <v>Mr. Ogunleye</v>
      </c>
      <c r="L144">
        <f>_xlfn.XLOOKUP(B144,zones_lookup!A:A,zones_lookup!C:C,"Not found")</f>
        <v>181000</v>
      </c>
    </row>
    <row r="145" spans="1:12" x14ac:dyDescent="0.3">
      <c r="A145" s="2">
        <v>45812</v>
      </c>
      <c r="B145" t="s">
        <v>27</v>
      </c>
      <c r="C145" t="s">
        <v>31</v>
      </c>
      <c r="D145">
        <v>2</v>
      </c>
      <c r="E145">
        <v>13.3</v>
      </c>
      <c r="F145">
        <v>74.3</v>
      </c>
      <c r="G145">
        <v>3</v>
      </c>
      <c r="H145">
        <v>6</v>
      </c>
      <c r="I145" t="s">
        <v>1667</v>
      </c>
      <c r="J145">
        <v>6.65</v>
      </c>
      <c r="K145" t="str">
        <f>_xlfn.XLOOKUP(B145,zones_lookup!A:A,zones_lookup!B:B,"Not found")</f>
        <v>Mr. Bello</v>
      </c>
      <c r="L145">
        <f>_xlfn.XLOOKUP(B145,zones_lookup!A:A,zones_lookup!C:C,"Not found")</f>
        <v>1288000</v>
      </c>
    </row>
    <row r="146" spans="1:12" x14ac:dyDescent="0.3">
      <c r="A146" s="2">
        <v>45723</v>
      </c>
      <c r="B146" t="s">
        <v>89</v>
      </c>
      <c r="C146" t="s">
        <v>131</v>
      </c>
      <c r="D146">
        <v>3</v>
      </c>
      <c r="E146">
        <v>17.100000000000001</v>
      </c>
      <c r="F146">
        <v>118.2</v>
      </c>
      <c r="G146">
        <v>3</v>
      </c>
      <c r="H146">
        <v>3</v>
      </c>
      <c r="I146" t="s">
        <v>1662</v>
      </c>
      <c r="J146">
        <v>5.7</v>
      </c>
      <c r="K146" t="str">
        <f>_xlfn.XLOOKUP(B146,zones_lookup!A:A,zones_lookup!B:B,"Not found")</f>
        <v>Mr. Salami</v>
      </c>
      <c r="L146">
        <f>_xlfn.XLOOKUP(B146,zones_lookup!A:A,zones_lookup!C:C,"Not found")</f>
        <v>200000</v>
      </c>
    </row>
    <row r="147" spans="1:12" x14ac:dyDescent="0.3">
      <c r="A147" s="2">
        <v>45903</v>
      </c>
      <c r="B147" t="s">
        <v>93</v>
      </c>
      <c r="C147" t="s">
        <v>101</v>
      </c>
      <c r="D147">
        <v>6</v>
      </c>
      <c r="E147">
        <v>19.399999999999999</v>
      </c>
      <c r="F147">
        <v>241.8</v>
      </c>
      <c r="G147">
        <v>4</v>
      </c>
      <c r="H147">
        <v>9</v>
      </c>
      <c r="I147" t="s">
        <v>1670</v>
      </c>
      <c r="J147">
        <v>3.2333333333333329</v>
      </c>
      <c r="K147" t="str">
        <f>_xlfn.XLOOKUP(B147,zones_lookup!A:A,zones_lookup!B:B,"Not found")</f>
        <v>Mr. Ogunleye</v>
      </c>
      <c r="L147">
        <f>_xlfn.XLOOKUP(B147,zones_lookup!A:A,zones_lookup!C:C,"Not found")</f>
        <v>181000</v>
      </c>
    </row>
    <row r="148" spans="1:12" x14ac:dyDescent="0.3">
      <c r="A148" s="2">
        <v>45996</v>
      </c>
      <c r="B148" t="s">
        <v>76</v>
      </c>
      <c r="C148" t="s">
        <v>80</v>
      </c>
      <c r="D148">
        <v>2</v>
      </c>
      <c r="E148">
        <v>16.2</v>
      </c>
      <c r="F148">
        <v>83.8</v>
      </c>
      <c r="G148">
        <v>2</v>
      </c>
      <c r="H148">
        <v>12</v>
      </c>
      <c r="I148" t="s">
        <v>1671</v>
      </c>
      <c r="J148">
        <v>8.1</v>
      </c>
      <c r="K148" t="str">
        <f>_xlfn.XLOOKUP(B148,zones_lookup!A:A,zones_lookup!B:B,"Not found")</f>
        <v>Mr. Adeyemi</v>
      </c>
      <c r="L148">
        <f>_xlfn.XLOOKUP(B148,zones_lookup!A:A,zones_lookup!C:C,"Not found")</f>
        <v>313000</v>
      </c>
    </row>
    <row r="149" spans="1:12" x14ac:dyDescent="0.3">
      <c r="A149" s="2">
        <v>45821</v>
      </c>
      <c r="B149" t="s">
        <v>41</v>
      </c>
      <c r="C149" t="s">
        <v>42</v>
      </c>
      <c r="D149">
        <v>4</v>
      </c>
      <c r="E149">
        <v>29</v>
      </c>
      <c r="F149">
        <v>150.19999999999999</v>
      </c>
      <c r="G149">
        <v>2</v>
      </c>
      <c r="H149">
        <v>6</v>
      </c>
      <c r="I149" t="s">
        <v>1667</v>
      </c>
      <c r="J149">
        <v>7.25</v>
      </c>
      <c r="K149" t="str">
        <f>_xlfn.XLOOKUP(B149,zones_lookup!A:A,zones_lookup!B:B,"Not found")</f>
        <v>Mrs. Adisa</v>
      </c>
      <c r="L149">
        <f>_xlfn.XLOOKUP(B149,zones_lookup!A:A,zones_lookup!C:C,"Not found")</f>
        <v>633000</v>
      </c>
    </row>
    <row r="150" spans="1:12" x14ac:dyDescent="0.3">
      <c r="A150" s="2">
        <v>45961</v>
      </c>
      <c r="B150" t="s">
        <v>41</v>
      </c>
      <c r="C150" t="s">
        <v>46</v>
      </c>
      <c r="D150">
        <v>4</v>
      </c>
      <c r="E150">
        <v>27.6</v>
      </c>
      <c r="F150">
        <v>140.1</v>
      </c>
      <c r="G150">
        <v>2</v>
      </c>
      <c r="H150">
        <v>10</v>
      </c>
      <c r="I150" t="s">
        <v>1669</v>
      </c>
      <c r="J150">
        <v>6.9</v>
      </c>
      <c r="K150" t="str">
        <f>_xlfn.XLOOKUP(B150,zones_lookup!A:A,zones_lookup!B:B,"Not found")</f>
        <v>Mrs. Adisa</v>
      </c>
      <c r="L150">
        <f>_xlfn.XLOOKUP(B150,zones_lookup!A:A,zones_lookup!C:C,"Not found")</f>
        <v>633000</v>
      </c>
    </row>
    <row r="151" spans="1:12" x14ac:dyDescent="0.3">
      <c r="A151" s="2">
        <v>45896</v>
      </c>
      <c r="B151" t="s">
        <v>27</v>
      </c>
      <c r="C151" t="s">
        <v>28</v>
      </c>
      <c r="D151">
        <v>5</v>
      </c>
      <c r="E151">
        <v>34.5</v>
      </c>
      <c r="F151">
        <v>183.9</v>
      </c>
      <c r="G151">
        <v>4</v>
      </c>
      <c r="H151">
        <v>8</v>
      </c>
      <c r="I151" t="s">
        <v>1666</v>
      </c>
      <c r="J151">
        <v>6.9</v>
      </c>
      <c r="K151" t="str">
        <f>_xlfn.XLOOKUP(B151,zones_lookup!A:A,zones_lookup!B:B,"Not found")</f>
        <v>Mr. Bello</v>
      </c>
      <c r="L151">
        <f>_xlfn.XLOOKUP(B151,zones_lookup!A:A,zones_lookup!C:C,"Not found")</f>
        <v>1288000</v>
      </c>
    </row>
    <row r="152" spans="1:12" x14ac:dyDescent="0.3">
      <c r="A152" s="2">
        <v>45847</v>
      </c>
      <c r="B152" t="s">
        <v>89</v>
      </c>
      <c r="C152" t="s">
        <v>90</v>
      </c>
      <c r="D152">
        <v>2</v>
      </c>
      <c r="E152">
        <v>9.9</v>
      </c>
      <c r="F152">
        <v>46.4</v>
      </c>
      <c r="G152">
        <v>1</v>
      </c>
      <c r="H152">
        <v>7</v>
      </c>
      <c r="I152" t="s">
        <v>1661</v>
      </c>
      <c r="J152">
        <v>4.95</v>
      </c>
      <c r="K152" t="str">
        <f>_xlfn.XLOOKUP(B152,zones_lookup!A:A,zones_lookup!B:B,"Not found")</f>
        <v>Mr. Salami</v>
      </c>
      <c r="L152">
        <f>_xlfn.XLOOKUP(B152,zones_lookup!A:A,zones_lookup!C:C,"Not found")</f>
        <v>200000</v>
      </c>
    </row>
    <row r="153" spans="1:12" x14ac:dyDescent="0.3">
      <c r="A153" s="2">
        <v>45887</v>
      </c>
      <c r="B153" t="s">
        <v>41</v>
      </c>
      <c r="C153" t="s">
        <v>46</v>
      </c>
      <c r="D153">
        <v>2</v>
      </c>
      <c r="E153">
        <v>12.3</v>
      </c>
      <c r="F153">
        <v>73.5</v>
      </c>
      <c r="G153">
        <v>1</v>
      </c>
      <c r="H153">
        <v>8</v>
      </c>
      <c r="I153" t="s">
        <v>1666</v>
      </c>
      <c r="J153">
        <v>6.15</v>
      </c>
      <c r="K153" t="str">
        <f>_xlfn.XLOOKUP(B153,zones_lookup!A:A,zones_lookup!B:B,"Not found")</f>
        <v>Mrs. Adisa</v>
      </c>
      <c r="L153">
        <f>_xlfn.XLOOKUP(B153,zones_lookup!A:A,zones_lookup!C:C,"Not found")</f>
        <v>633000</v>
      </c>
    </row>
    <row r="154" spans="1:12" x14ac:dyDescent="0.3">
      <c r="A154" s="2">
        <v>45971</v>
      </c>
      <c r="B154" t="s">
        <v>93</v>
      </c>
      <c r="C154" t="s">
        <v>101</v>
      </c>
      <c r="D154">
        <v>2</v>
      </c>
      <c r="E154">
        <v>8</v>
      </c>
      <c r="F154">
        <v>79</v>
      </c>
      <c r="G154">
        <v>0</v>
      </c>
      <c r="H154">
        <v>11</v>
      </c>
      <c r="I154" t="s">
        <v>1664</v>
      </c>
      <c r="J154">
        <v>4</v>
      </c>
      <c r="K154" t="str">
        <f>_xlfn.XLOOKUP(B154,zones_lookup!A:A,zones_lookup!B:B,"Not found")</f>
        <v>Mr. Ogunleye</v>
      </c>
      <c r="L154">
        <f>_xlfn.XLOOKUP(B154,zones_lookup!A:A,zones_lookup!C:C,"Not found")</f>
        <v>181000</v>
      </c>
    </row>
    <row r="155" spans="1:12" x14ac:dyDescent="0.3">
      <c r="A155" s="2">
        <v>45684</v>
      </c>
      <c r="B155" t="s">
        <v>89</v>
      </c>
      <c r="C155" t="s">
        <v>131</v>
      </c>
      <c r="D155">
        <v>3</v>
      </c>
      <c r="E155">
        <v>14.2</v>
      </c>
      <c r="F155">
        <v>87.6</v>
      </c>
      <c r="G155">
        <v>1</v>
      </c>
      <c r="H155">
        <v>1</v>
      </c>
      <c r="I155" t="s">
        <v>1660</v>
      </c>
      <c r="J155">
        <v>4.7333333333333334</v>
      </c>
      <c r="K155" t="str">
        <f>_xlfn.XLOOKUP(B155,zones_lookup!A:A,zones_lookup!B:B,"Not found")</f>
        <v>Mr. Salami</v>
      </c>
      <c r="L155">
        <f>_xlfn.XLOOKUP(B155,zones_lookup!A:A,zones_lookup!C:C,"Not found")</f>
        <v>200000</v>
      </c>
    </row>
    <row r="156" spans="1:12" x14ac:dyDescent="0.3">
      <c r="A156" s="2">
        <v>45701</v>
      </c>
      <c r="B156" t="s">
        <v>76</v>
      </c>
      <c r="C156" t="s">
        <v>80</v>
      </c>
      <c r="D156">
        <v>4</v>
      </c>
      <c r="E156">
        <v>26.1</v>
      </c>
      <c r="F156">
        <v>139.80000000000001</v>
      </c>
      <c r="G156">
        <v>2</v>
      </c>
      <c r="H156">
        <v>2</v>
      </c>
      <c r="I156" t="s">
        <v>1665</v>
      </c>
      <c r="J156">
        <v>6.5250000000000004</v>
      </c>
      <c r="K156" t="str">
        <f>_xlfn.XLOOKUP(B156,zones_lookup!A:A,zones_lookup!B:B,"Not found")</f>
        <v>Mr. Adeyemi</v>
      </c>
      <c r="L156">
        <f>_xlfn.XLOOKUP(B156,zones_lookup!A:A,zones_lookup!C:C,"Not found")</f>
        <v>313000</v>
      </c>
    </row>
    <row r="157" spans="1:12" x14ac:dyDescent="0.3">
      <c r="A157" s="2">
        <v>45921</v>
      </c>
      <c r="B157" t="s">
        <v>89</v>
      </c>
      <c r="C157" t="s">
        <v>90</v>
      </c>
      <c r="D157">
        <v>3</v>
      </c>
      <c r="E157">
        <v>15.3</v>
      </c>
      <c r="F157">
        <v>90.2</v>
      </c>
      <c r="G157">
        <v>2</v>
      </c>
      <c r="H157">
        <v>9</v>
      </c>
      <c r="I157" t="s">
        <v>1670</v>
      </c>
      <c r="J157">
        <v>5.1000000000000005</v>
      </c>
      <c r="K157" t="str">
        <f>_xlfn.XLOOKUP(B157,zones_lookup!A:A,zones_lookup!B:B,"Not found")</f>
        <v>Mr. Salami</v>
      </c>
      <c r="L157">
        <f>_xlfn.XLOOKUP(B157,zones_lookup!A:A,zones_lookup!C:C,"Not found")</f>
        <v>200000</v>
      </c>
    </row>
    <row r="158" spans="1:12" x14ac:dyDescent="0.3">
      <c r="A158" s="2">
        <v>45960</v>
      </c>
      <c r="B158" t="s">
        <v>89</v>
      </c>
      <c r="C158" t="s">
        <v>90</v>
      </c>
      <c r="D158">
        <v>5</v>
      </c>
      <c r="E158">
        <v>19</v>
      </c>
      <c r="F158">
        <v>145.80000000000001</v>
      </c>
      <c r="G158">
        <v>0</v>
      </c>
      <c r="H158">
        <v>10</v>
      </c>
      <c r="I158" t="s">
        <v>1669</v>
      </c>
      <c r="J158">
        <v>3.8</v>
      </c>
      <c r="K158" t="str">
        <f>_xlfn.XLOOKUP(B158,zones_lookup!A:A,zones_lookup!B:B,"Not found")</f>
        <v>Mr. Salami</v>
      </c>
      <c r="L158">
        <f>_xlfn.XLOOKUP(B158,zones_lookup!A:A,zones_lookup!C:C,"Not found")</f>
        <v>200000</v>
      </c>
    </row>
    <row r="159" spans="1:12" x14ac:dyDescent="0.3">
      <c r="A159" s="2">
        <v>45886</v>
      </c>
      <c r="B159" t="s">
        <v>108</v>
      </c>
      <c r="C159" t="s">
        <v>109</v>
      </c>
      <c r="D159">
        <v>4</v>
      </c>
      <c r="E159">
        <v>26.4</v>
      </c>
      <c r="F159">
        <v>142</v>
      </c>
      <c r="G159">
        <v>5</v>
      </c>
      <c r="H159">
        <v>8</v>
      </c>
      <c r="I159" t="s">
        <v>1666</v>
      </c>
      <c r="J159">
        <v>6.6</v>
      </c>
      <c r="K159" t="str">
        <f>_xlfn.XLOOKUP(B159,zones_lookup!A:A,zones_lookup!B:B,"Not found")</f>
        <v>Mrs. Okafor</v>
      </c>
      <c r="L159">
        <f>_xlfn.XLOOKUP(B159,zones_lookup!A:A,zones_lookup!C:C,"Not found")</f>
        <v>503000</v>
      </c>
    </row>
    <row r="160" spans="1:12" x14ac:dyDescent="0.3">
      <c r="A160" s="2">
        <v>45765</v>
      </c>
      <c r="B160" t="s">
        <v>76</v>
      </c>
      <c r="C160" t="s">
        <v>80</v>
      </c>
      <c r="D160">
        <v>4</v>
      </c>
      <c r="E160">
        <v>30</v>
      </c>
      <c r="F160">
        <v>164.5</v>
      </c>
      <c r="G160">
        <v>2</v>
      </c>
      <c r="H160">
        <v>4</v>
      </c>
      <c r="I160" t="s">
        <v>1668</v>
      </c>
      <c r="J160">
        <v>7.5</v>
      </c>
      <c r="K160" t="str">
        <f>_xlfn.XLOOKUP(B160,zones_lookup!A:A,zones_lookup!B:B,"Not found")</f>
        <v>Mr. Adeyemi</v>
      </c>
      <c r="L160">
        <f>_xlfn.XLOOKUP(B160,zones_lookup!A:A,zones_lookup!C:C,"Not found")</f>
        <v>313000</v>
      </c>
    </row>
    <row r="161" spans="1:12" x14ac:dyDescent="0.3">
      <c r="A161" s="2">
        <v>45814</v>
      </c>
      <c r="B161" t="s">
        <v>41</v>
      </c>
      <c r="C161" t="s">
        <v>42</v>
      </c>
      <c r="D161">
        <v>6</v>
      </c>
      <c r="E161">
        <v>44.7</v>
      </c>
      <c r="F161">
        <v>266.8</v>
      </c>
      <c r="G161">
        <v>0</v>
      </c>
      <c r="H161">
        <v>6</v>
      </c>
      <c r="I161" t="s">
        <v>1667</v>
      </c>
      <c r="J161">
        <v>7.45</v>
      </c>
      <c r="K161" t="str">
        <f>_xlfn.XLOOKUP(B161,zones_lookup!A:A,zones_lookup!B:B,"Not found")</f>
        <v>Mrs. Adisa</v>
      </c>
      <c r="L161">
        <f>_xlfn.XLOOKUP(B161,zones_lookup!A:A,zones_lookup!C:C,"Not found")</f>
        <v>633000</v>
      </c>
    </row>
    <row r="162" spans="1:12" x14ac:dyDescent="0.3">
      <c r="A162" s="2">
        <v>45745</v>
      </c>
      <c r="B162" t="s">
        <v>108</v>
      </c>
      <c r="C162" t="s">
        <v>109</v>
      </c>
      <c r="D162">
        <v>4</v>
      </c>
      <c r="E162">
        <v>24.6</v>
      </c>
      <c r="F162">
        <v>168.4</v>
      </c>
      <c r="G162">
        <v>2</v>
      </c>
      <c r="H162">
        <v>3</v>
      </c>
      <c r="I162" t="s">
        <v>1662</v>
      </c>
      <c r="J162">
        <v>6.15</v>
      </c>
      <c r="K162" t="str">
        <f>_xlfn.XLOOKUP(B162,zones_lookup!A:A,zones_lookup!B:B,"Not found")</f>
        <v>Mrs. Okafor</v>
      </c>
      <c r="L162">
        <f>_xlfn.XLOOKUP(B162,zones_lookup!A:A,zones_lookup!C:C,"Not found")</f>
        <v>503000</v>
      </c>
    </row>
    <row r="163" spans="1:12" x14ac:dyDescent="0.3">
      <c r="A163" s="2">
        <v>45716</v>
      </c>
      <c r="B163" t="s">
        <v>93</v>
      </c>
      <c r="C163" t="s">
        <v>101</v>
      </c>
      <c r="D163">
        <v>4</v>
      </c>
      <c r="E163">
        <v>11.1</v>
      </c>
      <c r="F163">
        <v>156.4</v>
      </c>
      <c r="G163">
        <v>3</v>
      </c>
      <c r="H163">
        <v>2</v>
      </c>
      <c r="I163" t="s">
        <v>1665</v>
      </c>
      <c r="J163">
        <v>2.7749999999999999</v>
      </c>
      <c r="K163" t="str">
        <f>_xlfn.XLOOKUP(B163,zones_lookup!A:A,zones_lookup!B:B,"Not found")</f>
        <v>Mr. Ogunleye</v>
      </c>
      <c r="L163">
        <f>_xlfn.XLOOKUP(B163,zones_lookup!A:A,zones_lookup!C:C,"Not found")</f>
        <v>181000</v>
      </c>
    </row>
    <row r="164" spans="1:12" x14ac:dyDescent="0.3">
      <c r="A164" s="2">
        <v>45892</v>
      </c>
      <c r="B164" t="s">
        <v>76</v>
      </c>
      <c r="C164" t="s">
        <v>77</v>
      </c>
      <c r="D164">
        <v>5</v>
      </c>
      <c r="E164">
        <v>29.5</v>
      </c>
      <c r="F164">
        <v>220.8</v>
      </c>
      <c r="G164">
        <v>0</v>
      </c>
      <c r="H164">
        <v>8</v>
      </c>
      <c r="I164" t="s">
        <v>1666</v>
      </c>
      <c r="J164">
        <v>5.9</v>
      </c>
      <c r="K164" t="str">
        <f>_xlfn.XLOOKUP(B164,zones_lookup!A:A,zones_lookup!B:B,"Not found")</f>
        <v>Mr. Adeyemi</v>
      </c>
      <c r="L164">
        <f>_xlfn.XLOOKUP(B164,zones_lookup!A:A,zones_lookup!C:C,"Not found")</f>
        <v>313000</v>
      </c>
    </row>
    <row r="165" spans="1:12" x14ac:dyDescent="0.3">
      <c r="A165" s="2">
        <v>45840</v>
      </c>
      <c r="B165" t="s">
        <v>49</v>
      </c>
      <c r="C165" t="s">
        <v>52</v>
      </c>
      <c r="D165">
        <v>6</v>
      </c>
      <c r="E165">
        <v>21</v>
      </c>
      <c r="F165">
        <v>204</v>
      </c>
      <c r="G165">
        <v>1</v>
      </c>
      <c r="H165">
        <v>7</v>
      </c>
      <c r="I165" t="s">
        <v>1661</v>
      </c>
      <c r="J165">
        <v>3.5</v>
      </c>
      <c r="K165" t="str">
        <f>_xlfn.XLOOKUP(B165,zones_lookup!A:A,zones_lookup!B:B,"Not found")</f>
        <v>Mrs. Johnson</v>
      </c>
      <c r="L165">
        <f>_xlfn.XLOOKUP(B165,zones_lookup!A:A,zones_lookup!C:C,"Not found")</f>
        <v>241000</v>
      </c>
    </row>
    <row r="166" spans="1:12" x14ac:dyDescent="0.3">
      <c r="A166" s="2">
        <v>45668</v>
      </c>
      <c r="B166" t="s">
        <v>108</v>
      </c>
      <c r="C166" t="s">
        <v>169</v>
      </c>
      <c r="D166">
        <v>6</v>
      </c>
      <c r="E166">
        <v>40.299999999999997</v>
      </c>
      <c r="F166">
        <v>256.3</v>
      </c>
      <c r="G166">
        <v>0</v>
      </c>
      <c r="H166">
        <v>1</v>
      </c>
      <c r="I166" t="s">
        <v>1660</v>
      </c>
      <c r="J166">
        <v>6.7166666666666659</v>
      </c>
      <c r="K166" t="str">
        <f>_xlfn.XLOOKUP(B166,zones_lookup!A:A,zones_lookup!B:B,"Not found")</f>
        <v>Mrs. Okafor</v>
      </c>
      <c r="L166">
        <f>_xlfn.XLOOKUP(B166,zones_lookup!A:A,zones_lookup!C:C,"Not found")</f>
        <v>503000</v>
      </c>
    </row>
    <row r="167" spans="1:12" x14ac:dyDescent="0.3">
      <c r="A167" s="2">
        <v>45870</v>
      </c>
      <c r="B167" t="s">
        <v>49</v>
      </c>
      <c r="C167" t="s">
        <v>50</v>
      </c>
      <c r="D167">
        <v>4</v>
      </c>
      <c r="E167">
        <v>17.3</v>
      </c>
      <c r="F167">
        <v>122.7</v>
      </c>
      <c r="G167">
        <v>4</v>
      </c>
      <c r="H167">
        <v>8</v>
      </c>
      <c r="I167" t="s">
        <v>1666</v>
      </c>
      <c r="J167">
        <v>4.3250000000000002</v>
      </c>
      <c r="K167" t="str">
        <f>_xlfn.XLOOKUP(B167,zones_lookup!A:A,zones_lookup!B:B,"Not found")</f>
        <v>Mrs. Johnson</v>
      </c>
      <c r="L167">
        <f>_xlfn.XLOOKUP(B167,zones_lookup!A:A,zones_lookup!C:C,"Not found")</f>
        <v>241000</v>
      </c>
    </row>
    <row r="168" spans="1:12" x14ac:dyDescent="0.3">
      <c r="A168" s="2">
        <v>45709</v>
      </c>
      <c r="B168" t="s">
        <v>89</v>
      </c>
      <c r="C168" t="s">
        <v>90</v>
      </c>
      <c r="D168">
        <v>6</v>
      </c>
      <c r="E168">
        <v>30</v>
      </c>
      <c r="F168">
        <v>237</v>
      </c>
      <c r="G168">
        <v>2</v>
      </c>
      <c r="H168">
        <v>2</v>
      </c>
      <c r="I168" t="s">
        <v>1665</v>
      </c>
      <c r="J168">
        <v>5</v>
      </c>
      <c r="K168" t="str">
        <f>_xlfn.XLOOKUP(B168,zones_lookup!A:A,zones_lookup!B:B,"Not found")</f>
        <v>Mr. Salami</v>
      </c>
      <c r="L168">
        <f>_xlfn.XLOOKUP(B168,zones_lookup!A:A,zones_lookup!C:C,"Not found")</f>
        <v>200000</v>
      </c>
    </row>
    <row r="169" spans="1:12" x14ac:dyDescent="0.3">
      <c r="A169" s="2">
        <v>45829</v>
      </c>
      <c r="B169" t="s">
        <v>49</v>
      </c>
      <c r="C169" t="s">
        <v>50</v>
      </c>
      <c r="D169">
        <v>6</v>
      </c>
      <c r="E169">
        <v>24.4</v>
      </c>
      <c r="F169">
        <v>195</v>
      </c>
      <c r="G169">
        <v>3</v>
      </c>
      <c r="H169">
        <v>6</v>
      </c>
      <c r="I169" t="s">
        <v>1667</v>
      </c>
      <c r="J169">
        <v>4.0666666666666664</v>
      </c>
      <c r="K169" t="str">
        <f>_xlfn.XLOOKUP(B169,zones_lookup!A:A,zones_lookup!B:B,"Not found")</f>
        <v>Mrs. Johnson</v>
      </c>
      <c r="L169">
        <f>_xlfn.XLOOKUP(B169,zones_lookup!A:A,zones_lookup!C:C,"Not found")</f>
        <v>241000</v>
      </c>
    </row>
    <row r="170" spans="1:12" x14ac:dyDescent="0.3">
      <c r="A170" s="2">
        <v>45977</v>
      </c>
      <c r="B170" t="s">
        <v>76</v>
      </c>
      <c r="C170" t="s">
        <v>84</v>
      </c>
      <c r="D170">
        <v>6</v>
      </c>
      <c r="E170">
        <v>56.4</v>
      </c>
      <c r="F170">
        <v>203.5</v>
      </c>
      <c r="G170">
        <v>0</v>
      </c>
      <c r="H170">
        <v>11</v>
      </c>
      <c r="I170" t="s">
        <v>1664</v>
      </c>
      <c r="J170">
        <v>9.4</v>
      </c>
      <c r="K170" t="str">
        <f>_xlfn.XLOOKUP(B170,zones_lookup!A:A,zones_lookup!B:B,"Not found")</f>
        <v>Mr. Adeyemi</v>
      </c>
      <c r="L170">
        <f>_xlfn.XLOOKUP(B170,zones_lookup!A:A,zones_lookup!C:C,"Not found")</f>
        <v>313000</v>
      </c>
    </row>
    <row r="171" spans="1:12" x14ac:dyDescent="0.3">
      <c r="A171" s="2">
        <v>45949</v>
      </c>
      <c r="B171" t="s">
        <v>76</v>
      </c>
      <c r="C171" t="s">
        <v>80</v>
      </c>
      <c r="D171">
        <v>6</v>
      </c>
      <c r="E171">
        <v>44</v>
      </c>
      <c r="F171">
        <v>163.9</v>
      </c>
      <c r="G171">
        <v>2</v>
      </c>
      <c r="H171">
        <v>10</v>
      </c>
      <c r="I171" t="s">
        <v>1669</v>
      </c>
      <c r="J171">
        <v>7.333333333333333</v>
      </c>
      <c r="K171" t="str">
        <f>_xlfn.XLOOKUP(B171,zones_lookup!A:A,zones_lookup!B:B,"Not found")</f>
        <v>Mr. Adeyemi</v>
      </c>
      <c r="L171">
        <f>_xlfn.XLOOKUP(B171,zones_lookup!A:A,zones_lookup!C:C,"Not found")</f>
        <v>313000</v>
      </c>
    </row>
    <row r="172" spans="1:12" x14ac:dyDescent="0.3">
      <c r="A172" s="2">
        <v>45838</v>
      </c>
      <c r="B172" t="s">
        <v>41</v>
      </c>
      <c r="C172" t="s">
        <v>66</v>
      </c>
      <c r="D172">
        <v>6</v>
      </c>
      <c r="E172">
        <v>38.700000000000003</v>
      </c>
      <c r="F172">
        <v>206.2</v>
      </c>
      <c r="G172">
        <v>1</v>
      </c>
      <c r="H172">
        <v>6</v>
      </c>
      <c r="I172" t="s">
        <v>1667</v>
      </c>
      <c r="J172">
        <v>6.45</v>
      </c>
      <c r="K172" t="str">
        <f>_xlfn.XLOOKUP(B172,zones_lookup!A:A,zones_lookup!B:B,"Not found")</f>
        <v>Mrs. Adisa</v>
      </c>
      <c r="L172">
        <f>_xlfn.XLOOKUP(B172,zones_lookup!A:A,zones_lookup!C:C,"Not found")</f>
        <v>633000</v>
      </c>
    </row>
    <row r="173" spans="1:12" x14ac:dyDescent="0.3">
      <c r="A173" s="2">
        <v>45809</v>
      </c>
      <c r="B173" t="s">
        <v>60</v>
      </c>
      <c r="C173" t="s">
        <v>64</v>
      </c>
      <c r="D173">
        <v>6</v>
      </c>
      <c r="E173">
        <v>26.6</v>
      </c>
      <c r="F173">
        <v>198.5</v>
      </c>
      <c r="G173">
        <v>1</v>
      </c>
      <c r="H173">
        <v>6</v>
      </c>
      <c r="I173" t="s">
        <v>1667</v>
      </c>
      <c r="J173">
        <v>4.4333333333333336</v>
      </c>
      <c r="K173" t="str">
        <f>_xlfn.XLOOKUP(B173,zones_lookup!A:A,zones_lookup!B:B,"Not found")</f>
        <v>Mrs. Eze</v>
      </c>
      <c r="L173">
        <f>_xlfn.XLOOKUP(B173,zones_lookup!A:A,zones_lookup!C:C,"Not found")</f>
        <v>535000</v>
      </c>
    </row>
    <row r="174" spans="1:12" x14ac:dyDescent="0.3">
      <c r="A174" s="2">
        <v>45974</v>
      </c>
      <c r="B174" t="s">
        <v>76</v>
      </c>
      <c r="C174" t="s">
        <v>84</v>
      </c>
      <c r="D174">
        <v>3</v>
      </c>
      <c r="E174">
        <v>21.1</v>
      </c>
      <c r="F174">
        <v>119.4</v>
      </c>
      <c r="G174">
        <v>2</v>
      </c>
      <c r="H174">
        <v>11</v>
      </c>
      <c r="I174" t="s">
        <v>1664</v>
      </c>
      <c r="J174">
        <v>7.0333333333333341</v>
      </c>
      <c r="K174" t="str">
        <f>_xlfn.XLOOKUP(B174,zones_lookup!A:A,zones_lookup!B:B,"Not found")</f>
        <v>Mr. Adeyemi</v>
      </c>
      <c r="L174">
        <f>_xlfn.XLOOKUP(B174,zones_lookup!A:A,zones_lookup!C:C,"Not found")</f>
        <v>313000</v>
      </c>
    </row>
    <row r="175" spans="1:12" x14ac:dyDescent="0.3">
      <c r="A175" s="2">
        <v>45698</v>
      </c>
      <c r="B175" t="s">
        <v>27</v>
      </c>
      <c r="C175" t="s">
        <v>28</v>
      </c>
      <c r="D175">
        <v>4</v>
      </c>
      <c r="E175">
        <v>27.3</v>
      </c>
      <c r="F175">
        <v>147.80000000000001</v>
      </c>
      <c r="G175">
        <v>1</v>
      </c>
      <c r="H175">
        <v>2</v>
      </c>
      <c r="I175" t="s">
        <v>1665</v>
      </c>
      <c r="J175">
        <v>6.8250000000000002</v>
      </c>
      <c r="K175" t="str">
        <f>_xlfn.XLOOKUP(B175,zones_lookup!A:A,zones_lookup!B:B,"Not found")</f>
        <v>Mr. Bello</v>
      </c>
      <c r="L175">
        <f>_xlfn.XLOOKUP(B175,zones_lookup!A:A,zones_lookup!C:C,"Not found")</f>
        <v>1288000</v>
      </c>
    </row>
    <row r="176" spans="1:12" x14ac:dyDescent="0.3">
      <c r="A176" s="2">
        <v>45729</v>
      </c>
      <c r="B176" t="s">
        <v>108</v>
      </c>
      <c r="C176" t="s">
        <v>109</v>
      </c>
      <c r="D176">
        <v>5</v>
      </c>
      <c r="E176">
        <v>27.9</v>
      </c>
      <c r="F176">
        <v>180.9</v>
      </c>
      <c r="G176">
        <v>2</v>
      </c>
      <c r="H176">
        <v>3</v>
      </c>
      <c r="I176" t="s">
        <v>1662</v>
      </c>
      <c r="J176">
        <v>5.58</v>
      </c>
      <c r="K176" t="str">
        <f>_xlfn.XLOOKUP(B176,zones_lookup!A:A,zones_lookup!B:B,"Not found")</f>
        <v>Mrs. Okafor</v>
      </c>
      <c r="L176">
        <f>_xlfn.XLOOKUP(B176,zones_lookup!A:A,zones_lookup!C:C,"Not found")</f>
        <v>503000</v>
      </c>
    </row>
    <row r="177" spans="1:12" x14ac:dyDescent="0.3">
      <c r="A177" s="2">
        <v>45947</v>
      </c>
      <c r="B177" t="s">
        <v>76</v>
      </c>
      <c r="C177" t="s">
        <v>80</v>
      </c>
      <c r="D177">
        <v>3</v>
      </c>
      <c r="E177">
        <v>18.8</v>
      </c>
      <c r="F177">
        <v>112.9</v>
      </c>
      <c r="G177">
        <v>0</v>
      </c>
      <c r="H177">
        <v>10</v>
      </c>
      <c r="I177" t="s">
        <v>1669</v>
      </c>
      <c r="J177">
        <v>6.2666666666666666</v>
      </c>
      <c r="K177" t="str">
        <f>_xlfn.XLOOKUP(B177,zones_lookup!A:A,zones_lookup!B:B,"Not found")</f>
        <v>Mr. Adeyemi</v>
      </c>
      <c r="L177">
        <f>_xlfn.XLOOKUP(B177,zones_lookup!A:A,zones_lookup!C:C,"Not found")</f>
        <v>313000</v>
      </c>
    </row>
    <row r="178" spans="1:12" x14ac:dyDescent="0.3">
      <c r="A178" s="2">
        <v>45744</v>
      </c>
      <c r="B178" t="s">
        <v>49</v>
      </c>
      <c r="C178" t="s">
        <v>52</v>
      </c>
      <c r="D178">
        <v>4</v>
      </c>
      <c r="E178">
        <v>11.8</v>
      </c>
      <c r="F178">
        <v>131.6</v>
      </c>
      <c r="G178">
        <v>2</v>
      </c>
      <c r="H178">
        <v>3</v>
      </c>
      <c r="I178" t="s">
        <v>1662</v>
      </c>
      <c r="J178">
        <v>2.95</v>
      </c>
      <c r="K178" t="str">
        <f>_xlfn.XLOOKUP(B178,zones_lookup!A:A,zones_lookup!B:B,"Not found")</f>
        <v>Mrs. Johnson</v>
      </c>
      <c r="L178">
        <f>_xlfn.XLOOKUP(B178,zones_lookup!A:A,zones_lookup!C:C,"Not found")</f>
        <v>241000</v>
      </c>
    </row>
    <row r="179" spans="1:12" x14ac:dyDescent="0.3">
      <c r="A179" s="2">
        <v>45967</v>
      </c>
      <c r="B179" t="s">
        <v>27</v>
      </c>
      <c r="C179" t="s">
        <v>38</v>
      </c>
      <c r="D179">
        <v>2</v>
      </c>
      <c r="E179">
        <v>15.6</v>
      </c>
      <c r="F179">
        <v>58.2</v>
      </c>
      <c r="G179">
        <v>1</v>
      </c>
      <c r="H179">
        <v>11</v>
      </c>
      <c r="I179" t="s">
        <v>1664</v>
      </c>
      <c r="J179">
        <v>7.8</v>
      </c>
      <c r="K179" t="str">
        <f>_xlfn.XLOOKUP(B179,zones_lookup!A:A,zones_lookup!B:B,"Not found")</f>
        <v>Mr. Bello</v>
      </c>
      <c r="L179">
        <f>_xlfn.XLOOKUP(B179,zones_lookup!A:A,zones_lookup!C:C,"Not found")</f>
        <v>1288000</v>
      </c>
    </row>
    <row r="180" spans="1:12" x14ac:dyDescent="0.3">
      <c r="A180" s="2">
        <v>45749</v>
      </c>
      <c r="B180" t="s">
        <v>27</v>
      </c>
      <c r="C180" t="s">
        <v>28</v>
      </c>
      <c r="D180">
        <v>6</v>
      </c>
      <c r="E180">
        <v>47.1</v>
      </c>
      <c r="F180">
        <v>237.2</v>
      </c>
      <c r="G180">
        <v>0</v>
      </c>
      <c r="H180">
        <v>4</v>
      </c>
      <c r="I180" t="s">
        <v>1668</v>
      </c>
      <c r="J180">
        <v>7.8500000000000005</v>
      </c>
      <c r="K180" t="str">
        <f>_xlfn.XLOOKUP(B180,zones_lookup!A:A,zones_lookup!B:B,"Not found")</f>
        <v>Mr. Bello</v>
      </c>
      <c r="L180">
        <f>_xlfn.XLOOKUP(B180,zones_lookup!A:A,zones_lookup!C:C,"Not found")</f>
        <v>1288000</v>
      </c>
    </row>
    <row r="181" spans="1:12" x14ac:dyDescent="0.3">
      <c r="A181" s="2">
        <v>45923</v>
      </c>
      <c r="B181" t="s">
        <v>60</v>
      </c>
      <c r="C181" t="s">
        <v>61</v>
      </c>
      <c r="D181">
        <v>5</v>
      </c>
      <c r="E181">
        <v>19.5</v>
      </c>
      <c r="F181">
        <v>154.6</v>
      </c>
      <c r="G181">
        <v>3</v>
      </c>
      <c r="H181">
        <v>9</v>
      </c>
      <c r="I181" t="s">
        <v>1670</v>
      </c>
      <c r="J181">
        <v>3.9</v>
      </c>
      <c r="K181" t="str">
        <f>_xlfn.XLOOKUP(B181,zones_lookup!A:A,zones_lookup!B:B,"Not found")</f>
        <v>Mrs. Eze</v>
      </c>
      <c r="L181">
        <f>_xlfn.XLOOKUP(B181,zones_lookup!A:A,zones_lookup!C:C,"Not found")</f>
        <v>535000</v>
      </c>
    </row>
    <row r="182" spans="1:12" x14ac:dyDescent="0.3">
      <c r="A182" s="2">
        <v>45759</v>
      </c>
      <c r="B182" t="s">
        <v>93</v>
      </c>
      <c r="C182" t="s">
        <v>57</v>
      </c>
      <c r="D182">
        <v>5</v>
      </c>
      <c r="E182">
        <v>21.4</v>
      </c>
      <c r="F182">
        <v>235.8</v>
      </c>
      <c r="G182">
        <v>1</v>
      </c>
      <c r="H182">
        <v>4</v>
      </c>
      <c r="I182" t="s">
        <v>1668</v>
      </c>
      <c r="J182">
        <v>4.2799999999999994</v>
      </c>
      <c r="K182" t="str">
        <f>_xlfn.XLOOKUP(B182,zones_lookup!A:A,zones_lookup!B:B,"Not found")</f>
        <v>Mr. Ogunleye</v>
      </c>
      <c r="L182">
        <f>_xlfn.XLOOKUP(B182,zones_lookup!A:A,zones_lookup!C:C,"Not found")</f>
        <v>181000</v>
      </c>
    </row>
    <row r="183" spans="1:12" x14ac:dyDescent="0.3">
      <c r="A183" s="2">
        <v>45738</v>
      </c>
      <c r="B183" t="s">
        <v>27</v>
      </c>
      <c r="C183" t="s">
        <v>28</v>
      </c>
      <c r="D183">
        <v>3</v>
      </c>
      <c r="E183">
        <v>24</v>
      </c>
      <c r="F183">
        <v>125.3</v>
      </c>
      <c r="G183">
        <v>0</v>
      </c>
      <c r="H183">
        <v>3</v>
      </c>
      <c r="I183" t="s">
        <v>1662</v>
      </c>
      <c r="J183">
        <v>8</v>
      </c>
      <c r="K183" t="str">
        <f>_xlfn.XLOOKUP(B183,zones_lookup!A:A,zones_lookup!B:B,"Not found")</f>
        <v>Mr. Bello</v>
      </c>
      <c r="L183">
        <f>_xlfn.XLOOKUP(B183,zones_lookup!A:A,zones_lookup!C:C,"Not found")</f>
        <v>1288000</v>
      </c>
    </row>
    <row r="184" spans="1:12" x14ac:dyDescent="0.3">
      <c r="A184" s="2">
        <v>45680</v>
      </c>
      <c r="B184" t="s">
        <v>41</v>
      </c>
      <c r="C184" t="s">
        <v>73</v>
      </c>
      <c r="D184">
        <v>4</v>
      </c>
      <c r="E184">
        <v>29</v>
      </c>
      <c r="F184">
        <v>135.80000000000001</v>
      </c>
      <c r="G184">
        <v>1</v>
      </c>
      <c r="H184">
        <v>1</v>
      </c>
      <c r="I184" t="s">
        <v>1660</v>
      </c>
      <c r="J184">
        <v>7.25</v>
      </c>
      <c r="K184" t="str">
        <f>_xlfn.XLOOKUP(B184,zones_lookup!A:A,zones_lookup!B:B,"Not found")</f>
        <v>Mrs. Adisa</v>
      </c>
      <c r="L184">
        <f>_xlfn.XLOOKUP(B184,zones_lookup!A:A,zones_lookup!C:C,"Not found")</f>
        <v>633000</v>
      </c>
    </row>
    <row r="185" spans="1:12" x14ac:dyDescent="0.3">
      <c r="A185" s="2">
        <v>45773</v>
      </c>
      <c r="B185" t="s">
        <v>49</v>
      </c>
      <c r="C185" t="s">
        <v>50</v>
      </c>
      <c r="D185">
        <v>2</v>
      </c>
      <c r="E185">
        <v>8</v>
      </c>
      <c r="F185">
        <v>73</v>
      </c>
      <c r="G185">
        <v>0</v>
      </c>
      <c r="H185">
        <v>4</v>
      </c>
      <c r="I185" t="s">
        <v>1668</v>
      </c>
      <c r="J185">
        <v>4</v>
      </c>
      <c r="K185" t="str">
        <f>_xlfn.XLOOKUP(B185,zones_lookup!A:A,zones_lookup!B:B,"Not found")</f>
        <v>Mrs. Johnson</v>
      </c>
      <c r="L185">
        <f>_xlfn.XLOOKUP(B185,zones_lookup!A:A,zones_lookup!C:C,"Not found")</f>
        <v>241000</v>
      </c>
    </row>
    <row r="186" spans="1:12" x14ac:dyDescent="0.3">
      <c r="A186" s="2">
        <v>45677</v>
      </c>
      <c r="B186" t="s">
        <v>49</v>
      </c>
      <c r="C186" t="s">
        <v>52</v>
      </c>
      <c r="D186">
        <v>2</v>
      </c>
      <c r="E186">
        <v>7.4</v>
      </c>
      <c r="F186">
        <v>70.3</v>
      </c>
      <c r="G186">
        <v>2</v>
      </c>
      <c r="H186">
        <v>1</v>
      </c>
      <c r="I186" t="s">
        <v>1660</v>
      </c>
      <c r="J186">
        <v>3.7</v>
      </c>
      <c r="K186" t="str">
        <f>_xlfn.XLOOKUP(B186,zones_lookup!A:A,zones_lookup!B:B,"Not found")</f>
        <v>Mrs. Johnson</v>
      </c>
      <c r="L186">
        <f>_xlfn.XLOOKUP(B186,zones_lookup!A:A,zones_lookup!C:C,"Not found")</f>
        <v>241000</v>
      </c>
    </row>
    <row r="187" spans="1:12" x14ac:dyDescent="0.3">
      <c r="A187" s="2">
        <v>45916</v>
      </c>
      <c r="B187" t="s">
        <v>49</v>
      </c>
      <c r="C187" t="s">
        <v>52</v>
      </c>
      <c r="D187">
        <v>5</v>
      </c>
      <c r="E187">
        <v>16.8</v>
      </c>
      <c r="F187">
        <v>208.9</v>
      </c>
      <c r="G187">
        <v>2</v>
      </c>
      <c r="H187">
        <v>9</v>
      </c>
      <c r="I187" t="s">
        <v>1670</v>
      </c>
      <c r="J187">
        <v>3.3600000000000003</v>
      </c>
      <c r="K187" t="str">
        <f>_xlfn.XLOOKUP(B187,zones_lookup!A:A,zones_lookup!B:B,"Not found")</f>
        <v>Mrs. Johnson</v>
      </c>
      <c r="L187">
        <f>_xlfn.XLOOKUP(B187,zones_lookup!A:A,zones_lookup!C:C,"Not found")</f>
        <v>241000</v>
      </c>
    </row>
    <row r="188" spans="1:12" x14ac:dyDescent="0.3">
      <c r="A188" s="2">
        <v>45779</v>
      </c>
      <c r="B188" t="s">
        <v>49</v>
      </c>
      <c r="C188" t="s">
        <v>52</v>
      </c>
      <c r="D188">
        <v>4</v>
      </c>
      <c r="E188">
        <v>14.7</v>
      </c>
      <c r="F188">
        <v>149.19999999999999</v>
      </c>
      <c r="G188">
        <v>3</v>
      </c>
      <c r="H188">
        <v>5</v>
      </c>
      <c r="I188" t="s">
        <v>1663</v>
      </c>
      <c r="J188">
        <v>3.6749999999999998</v>
      </c>
      <c r="K188" t="str">
        <f>_xlfn.XLOOKUP(B188,zones_lookup!A:A,zones_lookup!B:B,"Not found")</f>
        <v>Mrs. Johnson</v>
      </c>
      <c r="L188">
        <f>_xlfn.XLOOKUP(B188,zones_lookup!A:A,zones_lookup!C:C,"Not found")</f>
        <v>241000</v>
      </c>
    </row>
    <row r="189" spans="1:12" x14ac:dyDescent="0.3">
      <c r="A189" s="2">
        <v>45861</v>
      </c>
      <c r="B189" t="s">
        <v>76</v>
      </c>
      <c r="C189" t="s">
        <v>84</v>
      </c>
      <c r="D189">
        <v>5</v>
      </c>
      <c r="E189">
        <v>39.799999999999997</v>
      </c>
      <c r="F189">
        <v>196.9</v>
      </c>
      <c r="G189">
        <v>1</v>
      </c>
      <c r="H189">
        <v>7</v>
      </c>
      <c r="I189" t="s">
        <v>1661</v>
      </c>
      <c r="J189">
        <v>7.9599999999999991</v>
      </c>
      <c r="K189" t="str">
        <f>_xlfn.XLOOKUP(B189,zones_lookup!A:A,zones_lookup!B:B,"Not found")</f>
        <v>Mr. Adeyemi</v>
      </c>
      <c r="L189">
        <f>_xlfn.XLOOKUP(B189,zones_lookup!A:A,zones_lookup!C:C,"Not found")</f>
        <v>313000</v>
      </c>
    </row>
    <row r="190" spans="1:12" x14ac:dyDescent="0.3">
      <c r="A190" s="2">
        <v>46015</v>
      </c>
      <c r="B190" t="s">
        <v>108</v>
      </c>
      <c r="C190" t="s">
        <v>169</v>
      </c>
      <c r="D190">
        <v>6</v>
      </c>
      <c r="E190">
        <v>56.6</v>
      </c>
      <c r="F190">
        <v>225.2</v>
      </c>
      <c r="G190">
        <v>1</v>
      </c>
      <c r="H190">
        <v>12</v>
      </c>
      <c r="I190" t="s">
        <v>1671</v>
      </c>
      <c r="J190">
        <v>9.4333333333333336</v>
      </c>
      <c r="K190" t="str">
        <f>_xlfn.XLOOKUP(B190,zones_lookup!A:A,zones_lookup!B:B,"Not found")</f>
        <v>Mrs. Okafor</v>
      </c>
      <c r="L190">
        <f>_xlfn.XLOOKUP(B190,zones_lookup!A:A,zones_lookup!C:C,"Not found")</f>
        <v>503000</v>
      </c>
    </row>
    <row r="191" spans="1:12" x14ac:dyDescent="0.3">
      <c r="A191" s="2">
        <v>45699</v>
      </c>
      <c r="B191" t="s">
        <v>27</v>
      </c>
      <c r="C191" t="s">
        <v>34</v>
      </c>
      <c r="D191">
        <v>4</v>
      </c>
      <c r="E191">
        <v>25</v>
      </c>
      <c r="F191">
        <v>139.1</v>
      </c>
      <c r="G191">
        <v>0</v>
      </c>
      <c r="H191">
        <v>2</v>
      </c>
      <c r="I191" t="s">
        <v>1665</v>
      </c>
      <c r="J191">
        <v>6.25</v>
      </c>
      <c r="K191" t="str">
        <f>_xlfn.XLOOKUP(B191,zones_lookup!A:A,zones_lookup!B:B,"Not found")</f>
        <v>Mr. Bello</v>
      </c>
      <c r="L191">
        <f>_xlfn.XLOOKUP(B191,zones_lookup!A:A,zones_lookup!C:C,"Not found")</f>
        <v>1288000</v>
      </c>
    </row>
    <row r="192" spans="1:12" x14ac:dyDescent="0.3">
      <c r="A192" s="2">
        <v>45671</v>
      </c>
      <c r="B192" t="s">
        <v>60</v>
      </c>
      <c r="C192" t="s">
        <v>69</v>
      </c>
      <c r="D192">
        <v>2</v>
      </c>
      <c r="E192">
        <v>8.6999999999999993</v>
      </c>
      <c r="F192">
        <v>86.2</v>
      </c>
      <c r="G192">
        <v>5</v>
      </c>
      <c r="H192">
        <v>1</v>
      </c>
      <c r="I192" t="s">
        <v>1660</v>
      </c>
      <c r="J192">
        <v>4.3499999999999996</v>
      </c>
      <c r="K192" t="str">
        <f>_xlfn.XLOOKUP(B192,zones_lookup!A:A,zones_lookup!B:B,"Not found")</f>
        <v>Mrs. Eze</v>
      </c>
      <c r="L192">
        <f>_xlfn.XLOOKUP(B192,zones_lookup!A:A,zones_lookup!C:C,"Not found")</f>
        <v>535000</v>
      </c>
    </row>
    <row r="193" spans="1:12" x14ac:dyDescent="0.3">
      <c r="A193" s="2">
        <v>45707</v>
      </c>
      <c r="B193" t="s">
        <v>41</v>
      </c>
      <c r="C193" t="s">
        <v>42</v>
      </c>
      <c r="D193">
        <v>5</v>
      </c>
      <c r="E193">
        <v>41.5</v>
      </c>
      <c r="F193">
        <v>188.3</v>
      </c>
      <c r="G193">
        <v>0</v>
      </c>
      <c r="H193">
        <v>2</v>
      </c>
      <c r="I193" t="s">
        <v>1665</v>
      </c>
      <c r="J193">
        <v>8.3000000000000007</v>
      </c>
      <c r="K193" t="str">
        <f>_xlfn.XLOOKUP(B193,zones_lookup!A:A,zones_lookup!B:B,"Not found")</f>
        <v>Mrs. Adisa</v>
      </c>
      <c r="L193">
        <f>_xlfn.XLOOKUP(B193,zones_lookup!A:A,zones_lookup!C:C,"Not found")</f>
        <v>633000</v>
      </c>
    </row>
    <row r="194" spans="1:12" x14ac:dyDescent="0.3">
      <c r="A194" s="2">
        <v>45982</v>
      </c>
      <c r="B194" t="s">
        <v>76</v>
      </c>
      <c r="C194" t="s">
        <v>77</v>
      </c>
      <c r="D194">
        <v>5</v>
      </c>
      <c r="E194">
        <v>40.200000000000003</v>
      </c>
      <c r="F194">
        <v>111.7</v>
      </c>
      <c r="G194">
        <v>3</v>
      </c>
      <c r="H194">
        <v>11</v>
      </c>
      <c r="I194" t="s">
        <v>1664</v>
      </c>
      <c r="J194">
        <v>8.0400000000000009</v>
      </c>
      <c r="K194" t="str">
        <f>_xlfn.XLOOKUP(B194,zones_lookup!A:A,zones_lookup!B:B,"Not found")</f>
        <v>Mr. Adeyemi</v>
      </c>
      <c r="L194">
        <f>_xlfn.XLOOKUP(B194,zones_lookup!A:A,zones_lookup!C:C,"Not found")</f>
        <v>313000</v>
      </c>
    </row>
    <row r="195" spans="1:12" x14ac:dyDescent="0.3">
      <c r="A195" s="2">
        <v>45867</v>
      </c>
      <c r="B195" t="s">
        <v>76</v>
      </c>
      <c r="C195" t="s">
        <v>77</v>
      </c>
      <c r="D195">
        <v>4</v>
      </c>
      <c r="E195">
        <v>22.8</v>
      </c>
      <c r="F195">
        <v>162.5</v>
      </c>
      <c r="G195">
        <v>1</v>
      </c>
      <c r="H195">
        <v>7</v>
      </c>
      <c r="I195" t="s">
        <v>1661</v>
      </c>
      <c r="J195">
        <v>5.7</v>
      </c>
      <c r="K195" t="str">
        <f>_xlfn.XLOOKUP(B195,zones_lookup!A:A,zones_lookup!B:B,"Not found")</f>
        <v>Mr. Adeyemi</v>
      </c>
      <c r="L195">
        <f>_xlfn.XLOOKUP(B195,zones_lookup!A:A,zones_lookup!C:C,"Not found")</f>
        <v>313000</v>
      </c>
    </row>
    <row r="196" spans="1:12" x14ac:dyDescent="0.3">
      <c r="A196" s="2">
        <v>45952</v>
      </c>
      <c r="B196" t="s">
        <v>76</v>
      </c>
      <c r="C196" t="s">
        <v>84</v>
      </c>
      <c r="D196">
        <v>6</v>
      </c>
      <c r="E196">
        <v>47.2</v>
      </c>
      <c r="F196">
        <v>272.10000000000002</v>
      </c>
      <c r="G196">
        <v>1</v>
      </c>
      <c r="H196">
        <v>10</v>
      </c>
      <c r="I196" t="s">
        <v>1669</v>
      </c>
      <c r="J196">
        <v>7.8666666666666671</v>
      </c>
      <c r="K196" t="str">
        <f>_xlfn.XLOOKUP(B196,zones_lookup!A:A,zones_lookup!B:B,"Not found")</f>
        <v>Mr. Adeyemi</v>
      </c>
      <c r="L196">
        <f>_xlfn.XLOOKUP(B196,zones_lookup!A:A,zones_lookup!C:C,"Not found")</f>
        <v>313000</v>
      </c>
    </row>
    <row r="197" spans="1:12" x14ac:dyDescent="0.3">
      <c r="A197" s="2">
        <v>45809</v>
      </c>
      <c r="B197" t="s">
        <v>49</v>
      </c>
      <c r="C197" t="s">
        <v>52</v>
      </c>
      <c r="D197">
        <v>5</v>
      </c>
      <c r="E197">
        <v>18.899999999999999</v>
      </c>
      <c r="F197">
        <v>197.9</v>
      </c>
      <c r="G197">
        <v>4</v>
      </c>
      <c r="H197">
        <v>6</v>
      </c>
      <c r="I197" t="s">
        <v>1667</v>
      </c>
      <c r="J197">
        <v>3.78</v>
      </c>
      <c r="K197" t="str">
        <f>_xlfn.XLOOKUP(B197,zones_lookup!A:A,zones_lookup!B:B,"Not found")</f>
        <v>Mrs. Johnson</v>
      </c>
      <c r="L197">
        <f>_xlfn.XLOOKUP(B197,zones_lookup!A:A,zones_lookup!C:C,"Not found")</f>
        <v>241000</v>
      </c>
    </row>
    <row r="198" spans="1:12" x14ac:dyDescent="0.3">
      <c r="A198" s="2">
        <v>45758</v>
      </c>
      <c r="B198" t="s">
        <v>27</v>
      </c>
      <c r="C198" t="s">
        <v>28</v>
      </c>
      <c r="D198">
        <v>4</v>
      </c>
      <c r="E198">
        <v>25.3</v>
      </c>
      <c r="F198">
        <v>133.19999999999999</v>
      </c>
      <c r="G198">
        <v>1</v>
      </c>
      <c r="H198">
        <v>4</v>
      </c>
      <c r="I198" t="s">
        <v>1668</v>
      </c>
      <c r="J198">
        <v>6.3250000000000002</v>
      </c>
      <c r="K198" t="str">
        <f>_xlfn.XLOOKUP(B198,zones_lookup!A:A,zones_lookup!B:B,"Not found")</f>
        <v>Mr. Bello</v>
      </c>
      <c r="L198">
        <f>_xlfn.XLOOKUP(B198,zones_lookup!A:A,zones_lookup!C:C,"Not found")</f>
        <v>1288000</v>
      </c>
    </row>
    <row r="199" spans="1:12" x14ac:dyDescent="0.3">
      <c r="A199" s="2">
        <v>46016</v>
      </c>
      <c r="B199" t="s">
        <v>108</v>
      </c>
      <c r="C199" t="s">
        <v>109</v>
      </c>
      <c r="D199">
        <v>5</v>
      </c>
      <c r="E199">
        <v>34.6</v>
      </c>
      <c r="F199">
        <v>183.3</v>
      </c>
      <c r="G199">
        <v>1</v>
      </c>
      <c r="H199">
        <v>12</v>
      </c>
      <c r="I199" t="s">
        <v>1671</v>
      </c>
      <c r="J199">
        <v>6.92</v>
      </c>
      <c r="K199" t="str">
        <f>_xlfn.XLOOKUP(B199,zones_lookup!A:A,zones_lookup!B:B,"Not found")</f>
        <v>Mrs. Okafor</v>
      </c>
      <c r="L199">
        <f>_xlfn.XLOOKUP(B199,zones_lookup!A:A,zones_lookup!C:C,"Not found")</f>
        <v>503000</v>
      </c>
    </row>
    <row r="200" spans="1:12" x14ac:dyDescent="0.3">
      <c r="A200" s="2">
        <v>45735</v>
      </c>
      <c r="B200" t="s">
        <v>27</v>
      </c>
      <c r="C200" t="s">
        <v>38</v>
      </c>
      <c r="D200">
        <v>2</v>
      </c>
      <c r="E200">
        <v>12</v>
      </c>
      <c r="F200">
        <v>69.400000000000006</v>
      </c>
      <c r="G200">
        <v>1</v>
      </c>
      <c r="H200">
        <v>3</v>
      </c>
      <c r="I200" t="s">
        <v>1662</v>
      </c>
      <c r="J200">
        <v>6</v>
      </c>
      <c r="K200" t="str">
        <f>_xlfn.XLOOKUP(B200,zones_lookup!A:A,zones_lookup!B:B,"Not found")</f>
        <v>Mr. Bello</v>
      </c>
      <c r="L200">
        <f>_xlfn.XLOOKUP(B200,zones_lookup!A:A,zones_lookup!C:C,"Not found")</f>
        <v>1288000</v>
      </c>
    </row>
    <row r="201" spans="1:12" x14ac:dyDescent="0.3">
      <c r="A201" s="2">
        <v>45738</v>
      </c>
      <c r="B201" t="s">
        <v>76</v>
      </c>
      <c r="C201" t="s">
        <v>84</v>
      </c>
      <c r="D201">
        <v>5</v>
      </c>
      <c r="E201">
        <v>31.6</v>
      </c>
      <c r="F201">
        <v>185.5</v>
      </c>
      <c r="G201">
        <v>2</v>
      </c>
      <c r="H201">
        <v>3</v>
      </c>
      <c r="I201" t="s">
        <v>1662</v>
      </c>
      <c r="J201">
        <v>6.32</v>
      </c>
      <c r="K201" t="str">
        <f>_xlfn.XLOOKUP(B201,zones_lookup!A:A,zones_lookup!B:B,"Not found")</f>
        <v>Mr. Adeyemi</v>
      </c>
      <c r="L201">
        <f>_xlfn.XLOOKUP(B201,zones_lookup!A:A,zones_lookup!C:C,"Not found")</f>
        <v>313000</v>
      </c>
    </row>
    <row r="202" spans="1:12" x14ac:dyDescent="0.3">
      <c r="A202" s="2">
        <v>45806</v>
      </c>
      <c r="B202" t="s">
        <v>27</v>
      </c>
      <c r="C202" t="s">
        <v>28</v>
      </c>
      <c r="D202">
        <v>6</v>
      </c>
      <c r="E202">
        <v>46.6</v>
      </c>
      <c r="F202">
        <v>240.2</v>
      </c>
      <c r="G202">
        <v>2</v>
      </c>
      <c r="H202">
        <v>5</v>
      </c>
      <c r="I202" t="s">
        <v>1663</v>
      </c>
      <c r="J202">
        <v>7.7666666666666666</v>
      </c>
      <c r="K202" t="str">
        <f>_xlfn.XLOOKUP(B202,zones_lookup!A:A,zones_lookup!B:B,"Not found")</f>
        <v>Mr. Bello</v>
      </c>
      <c r="L202">
        <f>_xlfn.XLOOKUP(B202,zones_lookup!A:A,zones_lookup!C:C,"Not found")</f>
        <v>1288000</v>
      </c>
    </row>
    <row r="203" spans="1:12" x14ac:dyDescent="0.3">
      <c r="A203" s="2">
        <v>45698</v>
      </c>
      <c r="B203" t="s">
        <v>41</v>
      </c>
      <c r="C203" t="s">
        <v>42</v>
      </c>
      <c r="D203">
        <v>2</v>
      </c>
      <c r="E203">
        <v>13.2</v>
      </c>
      <c r="F203">
        <v>83.8</v>
      </c>
      <c r="G203">
        <v>4</v>
      </c>
      <c r="H203">
        <v>2</v>
      </c>
      <c r="I203" t="s">
        <v>1665</v>
      </c>
      <c r="J203">
        <v>6.6</v>
      </c>
      <c r="K203" t="str">
        <f>_xlfn.XLOOKUP(B203,zones_lookup!A:A,zones_lookup!B:B,"Not found")</f>
        <v>Mrs. Adisa</v>
      </c>
      <c r="L203">
        <f>_xlfn.XLOOKUP(B203,zones_lookup!A:A,zones_lookup!C:C,"Not found")</f>
        <v>633000</v>
      </c>
    </row>
    <row r="204" spans="1:12" x14ac:dyDescent="0.3">
      <c r="A204" s="2">
        <v>45874</v>
      </c>
      <c r="B204" t="s">
        <v>76</v>
      </c>
      <c r="C204" t="s">
        <v>77</v>
      </c>
      <c r="D204">
        <v>3</v>
      </c>
      <c r="E204">
        <v>19.899999999999999</v>
      </c>
      <c r="F204">
        <v>139</v>
      </c>
      <c r="G204">
        <v>1</v>
      </c>
      <c r="H204">
        <v>8</v>
      </c>
      <c r="I204" t="s">
        <v>1666</v>
      </c>
      <c r="J204">
        <v>6.6333333333333329</v>
      </c>
      <c r="K204" t="str">
        <f>_xlfn.XLOOKUP(B204,zones_lookup!A:A,zones_lookup!B:B,"Not found")</f>
        <v>Mr. Adeyemi</v>
      </c>
      <c r="L204">
        <f>_xlfn.XLOOKUP(B204,zones_lookup!A:A,zones_lookup!C:C,"Not found")</f>
        <v>313000</v>
      </c>
    </row>
    <row r="205" spans="1:12" x14ac:dyDescent="0.3">
      <c r="A205" s="2">
        <v>45750</v>
      </c>
      <c r="B205" t="s">
        <v>108</v>
      </c>
      <c r="C205" t="s">
        <v>109</v>
      </c>
      <c r="D205">
        <v>2</v>
      </c>
      <c r="E205">
        <v>11.9</v>
      </c>
      <c r="F205">
        <v>75.7</v>
      </c>
      <c r="G205">
        <v>4</v>
      </c>
      <c r="H205">
        <v>4</v>
      </c>
      <c r="I205" t="s">
        <v>1668</v>
      </c>
      <c r="J205">
        <v>5.95</v>
      </c>
      <c r="K205" t="str">
        <f>_xlfn.XLOOKUP(B205,zones_lookup!A:A,zones_lookup!B:B,"Not found")</f>
        <v>Mrs. Okafor</v>
      </c>
      <c r="L205">
        <f>_xlfn.XLOOKUP(B205,zones_lookup!A:A,zones_lookup!C:C,"Not found")</f>
        <v>503000</v>
      </c>
    </row>
    <row r="206" spans="1:12" x14ac:dyDescent="0.3">
      <c r="A206" s="2">
        <v>45765</v>
      </c>
      <c r="B206" t="s">
        <v>89</v>
      </c>
      <c r="C206" t="s">
        <v>131</v>
      </c>
      <c r="D206">
        <v>3</v>
      </c>
      <c r="E206">
        <v>17.899999999999999</v>
      </c>
      <c r="F206">
        <v>117.8</v>
      </c>
      <c r="H206">
        <v>4</v>
      </c>
      <c r="I206" t="s">
        <v>1668</v>
      </c>
      <c r="J206">
        <v>5.9666666666666659</v>
      </c>
      <c r="K206" t="str">
        <f>_xlfn.XLOOKUP(B206,zones_lookup!A:A,zones_lookup!B:B,"Not found")</f>
        <v>Mr. Salami</v>
      </c>
      <c r="L206">
        <f>_xlfn.XLOOKUP(B206,zones_lookup!A:A,zones_lookup!C:C,"Not found")</f>
        <v>200000</v>
      </c>
    </row>
    <row r="207" spans="1:12" x14ac:dyDescent="0.3">
      <c r="A207" s="2">
        <v>45790</v>
      </c>
      <c r="B207" t="s">
        <v>89</v>
      </c>
      <c r="C207" t="s">
        <v>131</v>
      </c>
      <c r="D207">
        <v>6</v>
      </c>
      <c r="E207">
        <v>27.8</v>
      </c>
      <c r="F207">
        <v>198.1</v>
      </c>
      <c r="G207">
        <v>2</v>
      </c>
      <c r="H207">
        <v>5</v>
      </c>
      <c r="I207" t="s">
        <v>1663</v>
      </c>
      <c r="J207">
        <v>4.6333333333333337</v>
      </c>
      <c r="K207" t="str">
        <f>_xlfn.XLOOKUP(B207,zones_lookup!A:A,zones_lookup!B:B,"Not found")</f>
        <v>Mr. Salami</v>
      </c>
      <c r="L207">
        <f>_xlfn.XLOOKUP(B207,zones_lookup!A:A,zones_lookup!C:C,"Not found")</f>
        <v>200000</v>
      </c>
    </row>
    <row r="208" spans="1:12" x14ac:dyDescent="0.3">
      <c r="A208" s="2">
        <v>45969</v>
      </c>
      <c r="B208" t="s">
        <v>76</v>
      </c>
      <c r="C208" t="s">
        <v>80</v>
      </c>
      <c r="D208">
        <v>2</v>
      </c>
      <c r="E208">
        <v>15.4</v>
      </c>
      <c r="F208">
        <v>77</v>
      </c>
      <c r="G208">
        <v>1</v>
      </c>
      <c r="H208">
        <v>11</v>
      </c>
      <c r="I208" t="s">
        <v>1664</v>
      </c>
      <c r="J208">
        <v>7.7</v>
      </c>
      <c r="K208" t="str">
        <f>_xlfn.XLOOKUP(B208,zones_lookup!A:A,zones_lookup!B:B,"Not found")</f>
        <v>Mr. Adeyemi</v>
      </c>
      <c r="L208">
        <f>_xlfn.XLOOKUP(B208,zones_lookup!A:A,zones_lookup!C:C,"Not found")</f>
        <v>313000</v>
      </c>
    </row>
    <row r="209" spans="1:12" x14ac:dyDescent="0.3">
      <c r="A209" s="2">
        <v>45745</v>
      </c>
      <c r="B209" t="s">
        <v>41</v>
      </c>
      <c r="C209" t="s">
        <v>73</v>
      </c>
      <c r="D209">
        <v>5</v>
      </c>
      <c r="E209">
        <v>35.700000000000003</v>
      </c>
      <c r="F209">
        <v>193</v>
      </c>
      <c r="G209">
        <v>1</v>
      </c>
      <c r="H209">
        <v>3</v>
      </c>
      <c r="I209" t="s">
        <v>1662</v>
      </c>
      <c r="J209">
        <v>7.1400000000000006</v>
      </c>
      <c r="K209" t="str">
        <f>_xlfn.XLOOKUP(B209,zones_lookup!A:A,zones_lookup!B:B,"Not found")</f>
        <v>Mrs. Adisa</v>
      </c>
      <c r="L209">
        <f>_xlfn.XLOOKUP(B209,zones_lookup!A:A,zones_lookup!C:C,"Not found")</f>
        <v>633000</v>
      </c>
    </row>
    <row r="210" spans="1:12" x14ac:dyDescent="0.3">
      <c r="A210" s="2">
        <v>45699</v>
      </c>
      <c r="B210" t="s">
        <v>108</v>
      </c>
      <c r="C210" t="s">
        <v>169</v>
      </c>
      <c r="D210">
        <v>6</v>
      </c>
      <c r="E210">
        <v>37</v>
      </c>
      <c r="F210">
        <v>257.3</v>
      </c>
      <c r="G210">
        <v>3</v>
      </c>
      <c r="H210">
        <v>2</v>
      </c>
      <c r="I210" t="s">
        <v>1665</v>
      </c>
      <c r="J210">
        <v>6.166666666666667</v>
      </c>
      <c r="K210" t="str">
        <f>_xlfn.XLOOKUP(B210,zones_lookup!A:A,zones_lookup!B:B,"Not found")</f>
        <v>Mrs. Okafor</v>
      </c>
      <c r="L210">
        <f>_xlfn.XLOOKUP(B210,zones_lookup!A:A,zones_lookup!C:C,"Not found")</f>
        <v>503000</v>
      </c>
    </row>
    <row r="211" spans="1:12" x14ac:dyDescent="0.3">
      <c r="A211" s="2">
        <v>46006</v>
      </c>
      <c r="B211" t="s">
        <v>49</v>
      </c>
      <c r="C211" t="s">
        <v>52</v>
      </c>
      <c r="D211">
        <v>6</v>
      </c>
      <c r="E211">
        <v>28.5</v>
      </c>
      <c r="F211">
        <v>254.7</v>
      </c>
      <c r="G211">
        <v>3</v>
      </c>
      <c r="H211">
        <v>12</v>
      </c>
      <c r="I211" t="s">
        <v>1671</v>
      </c>
      <c r="J211">
        <v>4.75</v>
      </c>
      <c r="K211" t="str">
        <f>_xlfn.XLOOKUP(B211,zones_lookup!A:A,zones_lookup!B:B,"Not found")</f>
        <v>Mrs. Johnson</v>
      </c>
      <c r="L211">
        <f>_xlfn.XLOOKUP(B211,zones_lookup!A:A,zones_lookup!C:C,"Not found")</f>
        <v>241000</v>
      </c>
    </row>
    <row r="212" spans="1:12" x14ac:dyDescent="0.3">
      <c r="A212" s="2">
        <v>45997</v>
      </c>
      <c r="B212" t="s">
        <v>41</v>
      </c>
      <c r="C212" t="s">
        <v>46</v>
      </c>
      <c r="D212">
        <v>3</v>
      </c>
      <c r="E212">
        <v>23.2</v>
      </c>
      <c r="F212">
        <v>107.6</v>
      </c>
      <c r="G212">
        <v>2</v>
      </c>
      <c r="H212">
        <v>12</v>
      </c>
      <c r="I212" t="s">
        <v>1671</v>
      </c>
      <c r="J212">
        <v>7.7333333333333334</v>
      </c>
      <c r="K212" t="str">
        <f>_xlfn.XLOOKUP(B212,zones_lookup!A:A,zones_lookup!B:B,"Not found")</f>
        <v>Mrs. Adisa</v>
      </c>
      <c r="L212">
        <f>_xlfn.XLOOKUP(B212,zones_lookup!A:A,zones_lookup!C:C,"Not found")</f>
        <v>633000</v>
      </c>
    </row>
    <row r="213" spans="1:12" x14ac:dyDescent="0.3">
      <c r="A213" s="2">
        <v>45853</v>
      </c>
      <c r="B213" t="s">
        <v>60</v>
      </c>
      <c r="C213" t="s">
        <v>69</v>
      </c>
      <c r="D213">
        <v>6</v>
      </c>
      <c r="E213">
        <v>25.1</v>
      </c>
      <c r="F213">
        <v>252.8</v>
      </c>
      <c r="H213">
        <v>7</v>
      </c>
      <c r="I213" t="s">
        <v>1661</v>
      </c>
      <c r="J213">
        <v>4.1833333333333336</v>
      </c>
      <c r="K213" t="str">
        <f>_xlfn.XLOOKUP(B213,zones_lookup!A:A,zones_lookup!B:B,"Not found")</f>
        <v>Mrs. Eze</v>
      </c>
      <c r="L213">
        <f>_xlfn.XLOOKUP(B213,zones_lookup!A:A,zones_lookup!C:C,"Not found")</f>
        <v>535000</v>
      </c>
    </row>
    <row r="214" spans="1:12" x14ac:dyDescent="0.3">
      <c r="A214" s="2">
        <v>45866</v>
      </c>
      <c r="B214" t="s">
        <v>108</v>
      </c>
      <c r="C214" t="s">
        <v>109</v>
      </c>
      <c r="D214">
        <v>6</v>
      </c>
      <c r="E214">
        <v>32.6</v>
      </c>
      <c r="F214">
        <v>214.7</v>
      </c>
      <c r="H214">
        <v>7</v>
      </c>
      <c r="I214" t="s">
        <v>1661</v>
      </c>
      <c r="J214">
        <v>5.4333333333333336</v>
      </c>
      <c r="K214" t="str">
        <f>_xlfn.XLOOKUP(B214,zones_lookup!A:A,zones_lookup!B:B,"Not found")</f>
        <v>Mrs. Okafor</v>
      </c>
      <c r="L214">
        <f>_xlfn.XLOOKUP(B214,zones_lookup!A:A,zones_lookup!C:C,"Not found")</f>
        <v>503000</v>
      </c>
    </row>
    <row r="215" spans="1:12" x14ac:dyDescent="0.3">
      <c r="A215" s="2">
        <v>45926</v>
      </c>
      <c r="B215" t="s">
        <v>93</v>
      </c>
      <c r="C215" t="s">
        <v>101</v>
      </c>
      <c r="D215">
        <v>4</v>
      </c>
      <c r="E215">
        <v>15.4</v>
      </c>
      <c r="F215">
        <v>150.9</v>
      </c>
      <c r="G215">
        <v>4</v>
      </c>
      <c r="H215">
        <v>9</v>
      </c>
      <c r="I215" t="s">
        <v>1670</v>
      </c>
      <c r="J215">
        <v>3.85</v>
      </c>
      <c r="K215" t="str">
        <f>_xlfn.XLOOKUP(B215,zones_lookup!A:A,zones_lookup!B:B,"Not found")</f>
        <v>Mr. Ogunleye</v>
      </c>
      <c r="L215">
        <f>_xlfn.XLOOKUP(B215,zones_lookup!A:A,zones_lookup!C:C,"Not found")</f>
        <v>181000</v>
      </c>
    </row>
    <row r="216" spans="1:12" x14ac:dyDescent="0.3">
      <c r="A216" s="2">
        <v>45738</v>
      </c>
      <c r="B216" t="s">
        <v>60</v>
      </c>
      <c r="C216" t="s">
        <v>64</v>
      </c>
      <c r="D216">
        <v>5</v>
      </c>
      <c r="E216">
        <v>20.5</v>
      </c>
      <c r="F216">
        <v>207.3</v>
      </c>
      <c r="G216">
        <v>1</v>
      </c>
      <c r="H216">
        <v>3</v>
      </c>
      <c r="I216" t="s">
        <v>1662</v>
      </c>
      <c r="J216">
        <v>4.0999999999999996</v>
      </c>
      <c r="K216" t="str">
        <f>_xlfn.XLOOKUP(B216,zones_lookup!A:A,zones_lookup!B:B,"Not found")</f>
        <v>Mrs. Eze</v>
      </c>
      <c r="L216">
        <f>_xlfn.XLOOKUP(B216,zones_lookup!A:A,zones_lookup!C:C,"Not found")</f>
        <v>535000</v>
      </c>
    </row>
    <row r="217" spans="1:12" x14ac:dyDescent="0.3">
      <c r="A217" s="2">
        <v>46007</v>
      </c>
      <c r="B217" t="s">
        <v>27</v>
      </c>
      <c r="C217" t="s">
        <v>34</v>
      </c>
      <c r="D217">
        <v>4</v>
      </c>
      <c r="E217">
        <v>38.1</v>
      </c>
      <c r="F217">
        <v>105.5</v>
      </c>
      <c r="G217">
        <v>1</v>
      </c>
      <c r="H217">
        <v>12</v>
      </c>
      <c r="I217" t="s">
        <v>1671</v>
      </c>
      <c r="J217">
        <v>9.5250000000000004</v>
      </c>
      <c r="K217" t="str">
        <f>_xlfn.XLOOKUP(B217,zones_lookup!A:A,zones_lookup!B:B,"Not found")</f>
        <v>Mr. Bello</v>
      </c>
      <c r="L217">
        <f>_xlfn.XLOOKUP(B217,zones_lookup!A:A,zones_lookup!C:C,"Not found")</f>
        <v>1288000</v>
      </c>
    </row>
    <row r="218" spans="1:12" x14ac:dyDescent="0.3">
      <c r="A218" s="2">
        <v>45898</v>
      </c>
      <c r="B218" t="s">
        <v>89</v>
      </c>
      <c r="C218" t="s">
        <v>90</v>
      </c>
      <c r="D218">
        <v>4</v>
      </c>
      <c r="E218">
        <v>23.9</v>
      </c>
      <c r="F218">
        <v>159.19999999999999</v>
      </c>
      <c r="G218">
        <v>0</v>
      </c>
      <c r="H218">
        <v>8</v>
      </c>
      <c r="I218" t="s">
        <v>1666</v>
      </c>
      <c r="J218">
        <v>5.9749999999999996</v>
      </c>
      <c r="K218" t="str">
        <f>_xlfn.XLOOKUP(B218,zones_lookup!A:A,zones_lookup!B:B,"Not found")</f>
        <v>Mr. Salami</v>
      </c>
      <c r="L218">
        <f>_xlfn.XLOOKUP(B218,zones_lookup!A:A,zones_lookup!C:C,"Not found")</f>
        <v>200000</v>
      </c>
    </row>
    <row r="219" spans="1:12" x14ac:dyDescent="0.3">
      <c r="A219" s="2">
        <v>45778</v>
      </c>
      <c r="B219" t="s">
        <v>108</v>
      </c>
      <c r="C219" t="s">
        <v>169</v>
      </c>
      <c r="D219">
        <v>5</v>
      </c>
      <c r="E219">
        <v>32.4</v>
      </c>
      <c r="F219">
        <v>241.6</v>
      </c>
      <c r="G219">
        <v>0</v>
      </c>
      <c r="H219">
        <v>5</v>
      </c>
      <c r="I219" t="s">
        <v>1663</v>
      </c>
      <c r="J219">
        <v>6.4799999999999995</v>
      </c>
      <c r="K219" t="str">
        <f>_xlfn.XLOOKUP(B219,zones_lookup!A:A,zones_lookup!B:B,"Not found")</f>
        <v>Mrs. Okafor</v>
      </c>
      <c r="L219">
        <f>_xlfn.XLOOKUP(B219,zones_lookup!A:A,zones_lookup!C:C,"Not found")</f>
        <v>503000</v>
      </c>
    </row>
    <row r="220" spans="1:12" x14ac:dyDescent="0.3">
      <c r="A220" s="2">
        <v>45831</v>
      </c>
      <c r="B220" t="s">
        <v>93</v>
      </c>
      <c r="C220" t="s">
        <v>101</v>
      </c>
      <c r="D220">
        <v>5</v>
      </c>
      <c r="E220">
        <v>13.1</v>
      </c>
      <c r="F220">
        <v>183.3</v>
      </c>
      <c r="G220">
        <v>2</v>
      </c>
      <c r="H220">
        <v>6</v>
      </c>
      <c r="I220" t="s">
        <v>1667</v>
      </c>
      <c r="J220">
        <v>2.62</v>
      </c>
      <c r="K220" t="str">
        <f>_xlfn.XLOOKUP(B220,zones_lookup!A:A,zones_lookup!B:B,"Not found")</f>
        <v>Mr. Ogunleye</v>
      </c>
      <c r="L220">
        <f>_xlfn.XLOOKUP(B220,zones_lookup!A:A,zones_lookup!C:C,"Not found")</f>
        <v>181000</v>
      </c>
    </row>
    <row r="221" spans="1:12" x14ac:dyDescent="0.3">
      <c r="A221" s="2">
        <v>45957</v>
      </c>
      <c r="B221" t="s">
        <v>93</v>
      </c>
      <c r="C221" t="s">
        <v>101</v>
      </c>
      <c r="D221">
        <v>2</v>
      </c>
      <c r="E221">
        <v>7.4</v>
      </c>
      <c r="F221">
        <v>56.5</v>
      </c>
      <c r="G221">
        <v>5</v>
      </c>
      <c r="H221">
        <v>10</v>
      </c>
      <c r="I221" t="s">
        <v>1669</v>
      </c>
      <c r="J221">
        <v>3.7</v>
      </c>
      <c r="K221" t="str">
        <f>_xlfn.XLOOKUP(B221,zones_lookup!A:A,zones_lookup!B:B,"Not found")</f>
        <v>Mr. Ogunleye</v>
      </c>
      <c r="L221">
        <f>_xlfn.XLOOKUP(B221,zones_lookup!A:A,zones_lookup!C:C,"Not found")</f>
        <v>181000</v>
      </c>
    </row>
    <row r="222" spans="1:12" x14ac:dyDescent="0.3">
      <c r="A222" s="2">
        <v>45816</v>
      </c>
      <c r="B222" t="s">
        <v>49</v>
      </c>
      <c r="C222" t="s">
        <v>52</v>
      </c>
      <c r="D222">
        <v>5</v>
      </c>
      <c r="E222">
        <v>17.2</v>
      </c>
      <c r="F222">
        <v>156.30000000000001</v>
      </c>
      <c r="G222">
        <v>4</v>
      </c>
      <c r="H222">
        <v>6</v>
      </c>
      <c r="I222" t="s">
        <v>1667</v>
      </c>
      <c r="J222">
        <v>3.44</v>
      </c>
      <c r="K222" t="str">
        <f>_xlfn.XLOOKUP(B222,zones_lookup!A:A,zones_lookup!B:B,"Not found")</f>
        <v>Mrs. Johnson</v>
      </c>
      <c r="L222">
        <f>_xlfn.XLOOKUP(B222,zones_lookup!A:A,zones_lookup!C:C,"Not found")</f>
        <v>241000</v>
      </c>
    </row>
    <row r="223" spans="1:12" x14ac:dyDescent="0.3">
      <c r="A223" s="2">
        <v>46020</v>
      </c>
      <c r="B223" t="s">
        <v>89</v>
      </c>
      <c r="C223" t="s">
        <v>90</v>
      </c>
      <c r="D223">
        <v>6</v>
      </c>
      <c r="E223">
        <v>46.3</v>
      </c>
      <c r="F223">
        <v>245.3</v>
      </c>
      <c r="G223">
        <v>0</v>
      </c>
      <c r="H223">
        <v>12</v>
      </c>
      <c r="I223" t="s">
        <v>1671</v>
      </c>
      <c r="J223">
        <v>7.7166666666666659</v>
      </c>
      <c r="K223" t="str">
        <f>_xlfn.XLOOKUP(B223,zones_lookup!A:A,zones_lookup!B:B,"Not found")</f>
        <v>Mr. Salami</v>
      </c>
      <c r="L223">
        <f>_xlfn.XLOOKUP(B223,zones_lookup!A:A,zones_lookup!C:C,"Not found")</f>
        <v>200000</v>
      </c>
    </row>
    <row r="224" spans="1:12" x14ac:dyDescent="0.3">
      <c r="A224" s="2">
        <v>45696</v>
      </c>
      <c r="B224" t="s">
        <v>41</v>
      </c>
      <c r="C224" t="s">
        <v>42</v>
      </c>
      <c r="D224">
        <v>5</v>
      </c>
      <c r="E224">
        <v>34.5</v>
      </c>
      <c r="F224">
        <v>222.5</v>
      </c>
      <c r="G224">
        <v>2</v>
      </c>
      <c r="H224">
        <v>2</v>
      </c>
      <c r="I224" t="s">
        <v>1665</v>
      </c>
      <c r="J224">
        <v>6.9</v>
      </c>
      <c r="K224" t="str">
        <f>_xlfn.XLOOKUP(B224,zones_lookup!A:A,zones_lookup!B:B,"Not found")</f>
        <v>Mrs. Adisa</v>
      </c>
      <c r="L224">
        <f>_xlfn.XLOOKUP(B224,zones_lookup!A:A,zones_lookup!C:C,"Not found")</f>
        <v>633000</v>
      </c>
    </row>
    <row r="225" spans="1:12" x14ac:dyDescent="0.3">
      <c r="A225" s="2">
        <v>45955</v>
      </c>
      <c r="B225" t="s">
        <v>89</v>
      </c>
      <c r="C225" t="s">
        <v>90</v>
      </c>
      <c r="D225">
        <v>3</v>
      </c>
      <c r="E225">
        <v>17.100000000000001</v>
      </c>
      <c r="F225">
        <v>115.7</v>
      </c>
      <c r="G225">
        <v>2</v>
      </c>
      <c r="H225">
        <v>10</v>
      </c>
      <c r="I225" t="s">
        <v>1669</v>
      </c>
      <c r="J225">
        <v>5.7</v>
      </c>
      <c r="K225" t="str">
        <f>_xlfn.XLOOKUP(B225,zones_lookup!A:A,zones_lookup!B:B,"Not found")</f>
        <v>Mr. Salami</v>
      </c>
      <c r="L225">
        <f>_xlfn.XLOOKUP(B225,zones_lookup!A:A,zones_lookup!C:C,"Not found")</f>
        <v>200000</v>
      </c>
    </row>
    <row r="226" spans="1:12" x14ac:dyDescent="0.3">
      <c r="A226" s="2">
        <v>45658</v>
      </c>
      <c r="B226" t="s">
        <v>27</v>
      </c>
      <c r="C226" t="s">
        <v>34</v>
      </c>
      <c r="D226">
        <v>5</v>
      </c>
      <c r="E226">
        <v>38.6</v>
      </c>
      <c r="F226">
        <v>176.4</v>
      </c>
      <c r="G226">
        <v>1</v>
      </c>
      <c r="H226">
        <v>1</v>
      </c>
      <c r="I226" t="s">
        <v>1660</v>
      </c>
      <c r="J226">
        <v>7.7200000000000006</v>
      </c>
      <c r="K226" t="str">
        <f>_xlfn.XLOOKUP(B226,zones_lookup!A:A,zones_lookup!B:B,"Not found")</f>
        <v>Mr. Bello</v>
      </c>
      <c r="L226">
        <f>_xlfn.XLOOKUP(B226,zones_lookup!A:A,zones_lookup!C:C,"Not found")</f>
        <v>1288000</v>
      </c>
    </row>
    <row r="227" spans="1:12" x14ac:dyDescent="0.3">
      <c r="A227" s="2">
        <v>45940</v>
      </c>
      <c r="B227" t="s">
        <v>49</v>
      </c>
      <c r="C227" t="s">
        <v>52</v>
      </c>
      <c r="D227">
        <v>3</v>
      </c>
      <c r="E227">
        <v>13.9</v>
      </c>
      <c r="F227">
        <v>117.5</v>
      </c>
      <c r="G227">
        <v>2</v>
      </c>
      <c r="H227">
        <v>10</v>
      </c>
      <c r="I227" t="s">
        <v>1669</v>
      </c>
      <c r="J227">
        <v>4.6333333333333337</v>
      </c>
      <c r="K227" t="str">
        <f>_xlfn.XLOOKUP(B227,zones_lookup!A:A,zones_lookup!B:B,"Not found")</f>
        <v>Mrs. Johnson</v>
      </c>
      <c r="L227">
        <f>_xlfn.XLOOKUP(B227,zones_lookup!A:A,zones_lookup!C:C,"Not found")</f>
        <v>241000</v>
      </c>
    </row>
    <row r="228" spans="1:12" x14ac:dyDescent="0.3">
      <c r="A228" s="2">
        <v>45918</v>
      </c>
      <c r="B228" t="s">
        <v>93</v>
      </c>
      <c r="C228" t="s">
        <v>101</v>
      </c>
      <c r="D228">
        <v>4</v>
      </c>
      <c r="E228">
        <v>15.8</v>
      </c>
      <c r="F228">
        <v>184.9</v>
      </c>
      <c r="G228">
        <v>2</v>
      </c>
      <c r="H228">
        <v>9</v>
      </c>
      <c r="I228" t="s">
        <v>1670</v>
      </c>
      <c r="J228">
        <v>3.95</v>
      </c>
      <c r="K228" t="str">
        <f>_xlfn.XLOOKUP(B228,zones_lookup!A:A,zones_lookup!B:B,"Not found")</f>
        <v>Mr. Ogunleye</v>
      </c>
      <c r="L228">
        <f>_xlfn.XLOOKUP(B228,zones_lookup!A:A,zones_lookup!C:C,"Not found")</f>
        <v>181000</v>
      </c>
    </row>
    <row r="229" spans="1:12" x14ac:dyDescent="0.3">
      <c r="A229" s="2">
        <v>45969</v>
      </c>
      <c r="B229" t="s">
        <v>93</v>
      </c>
      <c r="C229" t="s">
        <v>57</v>
      </c>
      <c r="D229">
        <v>6</v>
      </c>
      <c r="E229">
        <v>18.600000000000001</v>
      </c>
      <c r="F229">
        <v>218.7</v>
      </c>
      <c r="G229">
        <v>2</v>
      </c>
      <c r="H229">
        <v>11</v>
      </c>
      <c r="I229" t="s">
        <v>1664</v>
      </c>
      <c r="J229">
        <v>3.1</v>
      </c>
      <c r="K229" t="str">
        <f>_xlfn.XLOOKUP(B229,zones_lookup!A:A,zones_lookup!B:B,"Not found")</f>
        <v>Mr. Ogunleye</v>
      </c>
      <c r="L229">
        <f>_xlfn.XLOOKUP(B229,zones_lookup!A:A,zones_lookup!C:C,"Not found")</f>
        <v>181000</v>
      </c>
    </row>
    <row r="230" spans="1:12" x14ac:dyDescent="0.3">
      <c r="A230" s="2">
        <v>45963</v>
      </c>
      <c r="B230" t="s">
        <v>49</v>
      </c>
      <c r="C230" t="s">
        <v>52</v>
      </c>
      <c r="D230">
        <v>3</v>
      </c>
      <c r="E230">
        <v>14.9</v>
      </c>
      <c r="F230">
        <v>109.3</v>
      </c>
      <c r="G230">
        <v>1</v>
      </c>
      <c r="H230">
        <v>11</v>
      </c>
      <c r="I230" t="s">
        <v>1664</v>
      </c>
      <c r="J230">
        <v>4.9666666666666668</v>
      </c>
      <c r="K230" t="str">
        <f>_xlfn.XLOOKUP(B230,zones_lookup!A:A,zones_lookup!B:B,"Not found")</f>
        <v>Mrs. Johnson</v>
      </c>
      <c r="L230">
        <f>_xlfn.XLOOKUP(B230,zones_lookup!A:A,zones_lookup!C:C,"Not found")</f>
        <v>241000</v>
      </c>
    </row>
    <row r="231" spans="1:12" x14ac:dyDescent="0.3">
      <c r="A231" s="2">
        <v>45801</v>
      </c>
      <c r="B231" t="s">
        <v>93</v>
      </c>
      <c r="C231" t="s">
        <v>57</v>
      </c>
      <c r="D231">
        <v>4</v>
      </c>
      <c r="E231">
        <v>14.3</v>
      </c>
      <c r="F231">
        <v>153.1</v>
      </c>
      <c r="G231">
        <v>3</v>
      </c>
      <c r="H231">
        <v>5</v>
      </c>
      <c r="I231" t="s">
        <v>1663</v>
      </c>
      <c r="J231">
        <v>3.5750000000000002</v>
      </c>
      <c r="K231" t="str">
        <f>_xlfn.XLOOKUP(B231,zones_lookup!A:A,zones_lookup!B:B,"Not found")</f>
        <v>Mr. Ogunleye</v>
      </c>
      <c r="L231">
        <f>_xlfn.XLOOKUP(B231,zones_lookup!A:A,zones_lookup!C:C,"Not found")</f>
        <v>181000</v>
      </c>
    </row>
    <row r="232" spans="1:12" x14ac:dyDescent="0.3">
      <c r="A232" s="2">
        <v>45822</v>
      </c>
      <c r="B232" t="s">
        <v>93</v>
      </c>
      <c r="C232" t="s">
        <v>57</v>
      </c>
      <c r="D232">
        <v>4</v>
      </c>
      <c r="E232">
        <v>15.8</v>
      </c>
      <c r="F232">
        <v>163.5</v>
      </c>
      <c r="G232">
        <v>3</v>
      </c>
      <c r="H232">
        <v>6</v>
      </c>
      <c r="I232" t="s">
        <v>1667</v>
      </c>
      <c r="J232">
        <v>3.95</v>
      </c>
      <c r="K232" t="str">
        <f>_xlfn.XLOOKUP(B232,zones_lookup!A:A,zones_lookup!B:B,"Not found")</f>
        <v>Mr. Ogunleye</v>
      </c>
      <c r="L232">
        <f>_xlfn.XLOOKUP(B232,zones_lookup!A:A,zones_lookup!C:C,"Not found")</f>
        <v>181000</v>
      </c>
    </row>
    <row r="233" spans="1:12" x14ac:dyDescent="0.3">
      <c r="A233" s="2">
        <v>45731</v>
      </c>
      <c r="B233" t="s">
        <v>108</v>
      </c>
      <c r="C233" t="s">
        <v>208</v>
      </c>
      <c r="D233">
        <v>3</v>
      </c>
      <c r="E233">
        <v>20.2</v>
      </c>
      <c r="F233">
        <v>125.7</v>
      </c>
      <c r="G233">
        <v>1</v>
      </c>
      <c r="H233">
        <v>3</v>
      </c>
      <c r="I233" t="s">
        <v>1662</v>
      </c>
      <c r="J233">
        <v>6.7333333333333334</v>
      </c>
      <c r="K233" t="str">
        <f>_xlfn.XLOOKUP(B233,zones_lookup!A:A,zones_lookup!B:B,"Not found")</f>
        <v>Mrs. Okafor</v>
      </c>
      <c r="L233">
        <f>_xlfn.XLOOKUP(B233,zones_lookup!A:A,zones_lookup!C:C,"Not found")</f>
        <v>503000</v>
      </c>
    </row>
    <row r="234" spans="1:12" x14ac:dyDescent="0.3">
      <c r="A234" s="2">
        <v>45987</v>
      </c>
      <c r="B234" t="s">
        <v>93</v>
      </c>
      <c r="C234" t="s">
        <v>101</v>
      </c>
      <c r="D234">
        <v>5</v>
      </c>
      <c r="E234">
        <v>18</v>
      </c>
      <c r="F234">
        <v>181.8</v>
      </c>
      <c r="G234">
        <v>2</v>
      </c>
      <c r="H234">
        <v>11</v>
      </c>
      <c r="I234" t="s">
        <v>1664</v>
      </c>
      <c r="J234">
        <v>3.6</v>
      </c>
      <c r="K234" t="str">
        <f>_xlfn.XLOOKUP(B234,zones_lookup!A:A,zones_lookup!B:B,"Not found")</f>
        <v>Mr. Ogunleye</v>
      </c>
      <c r="L234">
        <f>_xlfn.XLOOKUP(B234,zones_lookup!A:A,zones_lookup!C:C,"Not found")</f>
        <v>181000</v>
      </c>
    </row>
    <row r="235" spans="1:12" x14ac:dyDescent="0.3">
      <c r="A235" s="2">
        <v>45835</v>
      </c>
      <c r="B235" t="s">
        <v>41</v>
      </c>
      <c r="C235" t="s">
        <v>42</v>
      </c>
      <c r="D235">
        <v>3</v>
      </c>
      <c r="E235">
        <v>18.600000000000001</v>
      </c>
      <c r="F235">
        <v>113</v>
      </c>
      <c r="G235">
        <v>2</v>
      </c>
      <c r="H235">
        <v>6</v>
      </c>
      <c r="I235" t="s">
        <v>1667</v>
      </c>
      <c r="J235">
        <v>6.2</v>
      </c>
      <c r="K235" t="str">
        <f>_xlfn.XLOOKUP(B235,zones_lookup!A:A,zones_lookup!B:B,"Not found")</f>
        <v>Mrs. Adisa</v>
      </c>
      <c r="L235">
        <f>_xlfn.XLOOKUP(B235,zones_lookup!A:A,zones_lookup!C:C,"Not found")</f>
        <v>633000</v>
      </c>
    </row>
    <row r="236" spans="1:12" x14ac:dyDescent="0.3">
      <c r="A236" s="2">
        <v>46014</v>
      </c>
      <c r="B236" t="s">
        <v>108</v>
      </c>
      <c r="C236" t="s">
        <v>169</v>
      </c>
      <c r="D236">
        <v>2</v>
      </c>
      <c r="E236">
        <v>15.4</v>
      </c>
      <c r="F236">
        <v>69.900000000000006</v>
      </c>
      <c r="G236">
        <v>0</v>
      </c>
      <c r="H236">
        <v>12</v>
      </c>
      <c r="I236" t="s">
        <v>1671</v>
      </c>
      <c r="J236">
        <v>7.7</v>
      </c>
      <c r="K236" t="str">
        <f>_xlfn.XLOOKUP(B236,zones_lookup!A:A,zones_lookup!B:B,"Not found")</f>
        <v>Mrs. Okafor</v>
      </c>
      <c r="L236">
        <f>_xlfn.XLOOKUP(B236,zones_lookup!A:A,zones_lookup!C:C,"Not found")</f>
        <v>503000</v>
      </c>
    </row>
    <row r="237" spans="1:12" x14ac:dyDescent="0.3">
      <c r="A237" s="2">
        <v>45844</v>
      </c>
      <c r="B237" t="s">
        <v>60</v>
      </c>
      <c r="C237" t="s">
        <v>69</v>
      </c>
      <c r="D237">
        <v>2</v>
      </c>
      <c r="E237">
        <v>7.9</v>
      </c>
      <c r="F237">
        <v>76.099999999999994</v>
      </c>
      <c r="G237">
        <v>4</v>
      </c>
      <c r="H237">
        <v>7</v>
      </c>
      <c r="I237" t="s">
        <v>1661</v>
      </c>
      <c r="J237">
        <v>3.95</v>
      </c>
      <c r="K237" t="str">
        <f>_xlfn.XLOOKUP(B237,zones_lookup!A:A,zones_lookup!B:B,"Not found")</f>
        <v>Mrs. Eze</v>
      </c>
      <c r="L237">
        <f>_xlfn.XLOOKUP(B237,zones_lookup!A:A,zones_lookup!C:C,"Not found")</f>
        <v>535000</v>
      </c>
    </row>
    <row r="238" spans="1:12" x14ac:dyDescent="0.3">
      <c r="A238" s="2">
        <v>45940</v>
      </c>
      <c r="B238" t="s">
        <v>60</v>
      </c>
      <c r="C238" t="s">
        <v>61</v>
      </c>
      <c r="D238">
        <v>5</v>
      </c>
      <c r="E238">
        <v>25.8</v>
      </c>
      <c r="F238">
        <v>221.6</v>
      </c>
      <c r="G238">
        <v>5</v>
      </c>
      <c r="H238">
        <v>10</v>
      </c>
      <c r="I238" t="s">
        <v>1669</v>
      </c>
      <c r="J238">
        <v>5.16</v>
      </c>
      <c r="K238" t="str">
        <f>_xlfn.XLOOKUP(B238,zones_lookup!A:A,zones_lookup!B:B,"Not found")</f>
        <v>Mrs. Eze</v>
      </c>
      <c r="L238">
        <f>_xlfn.XLOOKUP(B238,zones_lookup!A:A,zones_lookup!C:C,"Not found")</f>
        <v>535000</v>
      </c>
    </row>
    <row r="239" spans="1:12" x14ac:dyDescent="0.3">
      <c r="A239" s="2">
        <v>45733</v>
      </c>
      <c r="B239" t="s">
        <v>108</v>
      </c>
      <c r="C239" t="s">
        <v>169</v>
      </c>
      <c r="D239">
        <v>6</v>
      </c>
      <c r="E239">
        <v>38.4</v>
      </c>
      <c r="F239">
        <v>206.9</v>
      </c>
      <c r="G239">
        <v>1</v>
      </c>
      <c r="H239">
        <v>3</v>
      </c>
      <c r="I239" t="s">
        <v>1662</v>
      </c>
      <c r="J239">
        <v>6.3999999999999995</v>
      </c>
      <c r="K239" t="str">
        <f>_xlfn.XLOOKUP(B239,zones_lookup!A:A,zones_lookup!B:B,"Not found")</f>
        <v>Mrs. Okafor</v>
      </c>
      <c r="L239">
        <f>_xlfn.XLOOKUP(B239,zones_lookup!A:A,zones_lookup!C:C,"Not found")</f>
        <v>503000</v>
      </c>
    </row>
    <row r="240" spans="1:12" x14ac:dyDescent="0.3">
      <c r="A240" s="2">
        <v>45829</v>
      </c>
      <c r="B240" t="s">
        <v>76</v>
      </c>
      <c r="C240" t="s">
        <v>84</v>
      </c>
      <c r="D240">
        <v>5</v>
      </c>
      <c r="E240">
        <v>31.4</v>
      </c>
      <c r="F240">
        <v>169</v>
      </c>
      <c r="G240">
        <v>0</v>
      </c>
      <c r="H240">
        <v>6</v>
      </c>
      <c r="I240" t="s">
        <v>1667</v>
      </c>
      <c r="J240">
        <v>6.2799999999999994</v>
      </c>
      <c r="K240" t="str">
        <f>_xlfn.XLOOKUP(B240,zones_lookup!A:A,zones_lookup!B:B,"Not found")</f>
        <v>Mr. Adeyemi</v>
      </c>
      <c r="L240">
        <f>_xlfn.XLOOKUP(B240,zones_lookup!A:A,zones_lookup!C:C,"Not found")</f>
        <v>313000</v>
      </c>
    </row>
    <row r="241" spans="1:12" x14ac:dyDescent="0.3">
      <c r="A241" s="2">
        <v>45767</v>
      </c>
      <c r="B241" t="s">
        <v>41</v>
      </c>
      <c r="C241" t="s">
        <v>73</v>
      </c>
      <c r="D241">
        <v>2</v>
      </c>
      <c r="E241">
        <v>15.9</v>
      </c>
      <c r="F241">
        <v>71.400000000000006</v>
      </c>
      <c r="G241">
        <v>1</v>
      </c>
      <c r="H241">
        <v>4</v>
      </c>
      <c r="I241" t="s">
        <v>1668</v>
      </c>
      <c r="J241">
        <v>7.95</v>
      </c>
      <c r="K241" t="str">
        <f>_xlfn.XLOOKUP(B241,zones_lookup!A:A,zones_lookup!B:B,"Not found")</f>
        <v>Mrs. Adisa</v>
      </c>
      <c r="L241">
        <f>_xlfn.XLOOKUP(B241,zones_lookup!A:A,zones_lookup!C:C,"Not found")</f>
        <v>633000</v>
      </c>
    </row>
    <row r="242" spans="1:12" x14ac:dyDescent="0.3">
      <c r="A242" s="2">
        <v>45949</v>
      </c>
      <c r="B242" t="s">
        <v>27</v>
      </c>
      <c r="C242" t="s">
        <v>28</v>
      </c>
      <c r="D242">
        <v>3</v>
      </c>
      <c r="E242">
        <v>24.6</v>
      </c>
      <c r="F242">
        <v>112.9</v>
      </c>
      <c r="G242">
        <v>1</v>
      </c>
      <c r="H242">
        <v>10</v>
      </c>
      <c r="I242" t="s">
        <v>1669</v>
      </c>
      <c r="J242">
        <v>8.2000000000000011</v>
      </c>
      <c r="K242" t="str">
        <f>_xlfn.XLOOKUP(B242,zones_lookup!A:A,zones_lookup!B:B,"Not found")</f>
        <v>Mr. Bello</v>
      </c>
      <c r="L242">
        <f>_xlfn.XLOOKUP(B242,zones_lookup!A:A,zones_lookup!C:C,"Not found")</f>
        <v>1288000</v>
      </c>
    </row>
    <row r="243" spans="1:12" x14ac:dyDescent="0.3">
      <c r="A243" s="2">
        <v>45849</v>
      </c>
      <c r="B243" t="s">
        <v>93</v>
      </c>
      <c r="C243" t="s">
        <v>57</v>
      </c>
      <c r="D243">
        <v>4</v>
      </c>
      <c r="E243">
        <v>12.8</v>
      </c>
      <c r="F243">
        <v>170</v>
      </c>
      <c r="G243">
        <v>4</v>
      </c>
      <c r="H243">
        <v>7</v>
      </c>
      <c r="I243" t="s">
        <v>1661</v>
      </c>
      <c r="J243">
        <v>3.2</v>
      </c>
      <c r="K243" t="str">
        <f>_xlfn.XLOOKUP(B243,zones_lookup!A:A,zones_lookup!B:B,"Not found")</f>
        <v>Mr. Ogunleye</v>
      </c>
      <c r="L243">
        <f>_xlfn.XLOOKUP(B243,zones_lookup!A:A,zones_lookup!C:C,"Not found")</f>
        <v>181000</v>
      </c>
    </row>
    <row r="244" spans="1:12" x14ac:dyDescent="0.3">
      <c r="A244" s="2">
        <v>45888</v>
      </c>
      <c r="B244" t="s">
        <v>60</v>
      </c>
      <c r="C244" t="s">
        <v>61</v>
      </c>
      <c r="D244">
        <v>6</v>
      </c>
      <c r="E244">
        <v>21.4</v>
      </c>
      <c r="F244">
        <v>211.9</v>
      </c>
      <c r="G244">
        <v>7</v>
      </c>
      <c r="H244">
        <v>8</v>
      </c>
      <c r="I244" t="s">
        <v>1666</v>
      </c>
      <c r="J244">
        <v>3.5666666666666664</v>
      </c>
      <c r="K244" t="str">
        <f>_xlfn.XLOOKUP(B244,zones_lookup!A:A,zones_lookup!B:B,"Not found")</f>
        <v>Mrs. Eze</v>
      </c>
      <c r="L244">
        <f>_xlfn.XLOOKUP(B244,zones_lookup!A:A,zones_lookup!C:C,"Not found")</f>
        <v>535000</v>
      </c>
    </row>
    <row r="245" spans="1:12" x14ac:dyDescent="0.3">
      <c r="A245" s="2">
        <v>45980</v>
      </c>
      <c r="B245" t="s">
        <v>108</v>
      </c>
      <c r="C245" t="s">
        <v>169</v>
      </c>
      <c r="D245">
        <v>3</v>
      </c>
      <c r="E245">
        <v>19</v>
      </c>
      <c r="F245">
        <v>102.5</v>
      </c>
      <c r="G245">
        <v>0</v>
      </c>
      <c r="H245">
        <v>11</v>
      </c>
      <c r="I245" t="s">
        <v>1664</v>
      </c>
      <c r="J245">
        <v>6.333333333333333</v>
      </c>
      <c r="K245" t="str">
        <f>_xlfn.XLOOKUP(B245,zones_lookup!A:A,zones_lookup!B:B,"Not found")</f>
        <v>Mrs. Okafor</v>
      </c>
      <c r="L245">
        <f>_xlfn.XLOOKUP(B245,zones_lookup!A:A,zones_lookup!C:C,"Not found")</f>
        <v>503000</v>
      </c>
    </row>
    <row r="246" spans="1:12" x14ac:dyDescent="0.3">
      <c r="A246" s="2">
        <v>45713</v>
      </c>
      <c r="B246" t="s">
        <v>108</v>
      </c>
      <c r="C246" t="s">
        <v>109</v>
      </c>
      <c r="D246">
        <v>6</v>
      </c>
      <c r="E246">
        <v>35.1</v>
      </c>
      <c r="F246">
        <v>269.5</v>
      </c>
      <c r="G246">
        <v>1</v>
      </c>
      <c r="H246">
        <v>2</v>
      </c>
      <c r="I246" t="s">
        <v>1665</v>
      </c>
      <c r="J246">
        <v>5.8500000000000005</v>
      </c>
      <c r="K246" t="str">
        <f>_xlfn.XLOOKUP(B246,zones_lookup!A:A,zones_lookup!B:B,"Not found")</f>
        <v>Mrs. Okafor</v>
      </c>
      <c r="L246">
        <f>_xlfn.XLOOKUP(B246,zones_lookup!A:A,zones_lookup!C:C,"Not found")</f>
        <v>503000</v>
      </c>
    </row>
    <row r="247" spans="1:12" x14ac:dyDescent="0.3">
      <c r="A247" s="2">
        <v>45960</v>
      </c>
      <c r="B247" t="s">
        <v>41</v>
      </c>
      <c r="C247" t="s">
        <v>42</v>
      </c>
      <c r="D247">
        <v>4</v>
      </c>
      <c r="E247">
        <v>23.4</v>
      </c>
      <c r="F247">
        <v>149.4</v>
      </c>
      <c r="G247">
        <v>1</v>
      </c>
      <c r="H247">
        <v>10</v>
      </c>
      <c r="I247" t="s">
        <v>1669</v>
      </c>
      <c r="J247">
        <v>5.85</v>
      </c>
      <c r="K247" t="str">
        <f>_xlfn.XLOOKUP(B247,zones_lookup!A:A,zones_lookup!B:B,"Not found")</f>
        <v>Mrs. Adisa</v>
      </c>
      <c r="L247">
        <f>_xlfn.XLOOKUP(B247,zones_lookup!A:A,zones_lookup!C:C,"Not found")</f>
        <v>633000</v>
      </c>
    </row>
    <row r="248" spans="1:12" x14ac:dyDescent="0.3">
      <c r="A248" s="2">
        <v>45705</v>
      </c>
      <c r="B248" t="s">
        <v>27</v>
      </c>
      <c r="C248" t="s">
        <v>34</v>
      </c>
      <c r="D248">
        <v>3</v>
      </c>
      <c r="E248">
        <v>22.6</v>
      </c>
      <c r="F248">
        <v>141.6</v>
      </c>
      <c r="G248">
        <v>1</v>
      </c>
      <c r="H248">
        <v>2</v>
      </c>
      <c r="I248" t="s">
        <v>1665</v>
      </c>
      <c r="J248">
        <v>7.5333333333333341</v>
      </c>
      <c r="K248" t="str">
        <f>_xlfn.XLOOKUP(B248,zones_lookup!A:A,zones_lookup!B:B,"Not found")</f>
        <v>Mr. Bello</v>
      </c>
      <c r="L248">
        <f>_xlfn.XLOOKUP(B248,zones_lookup!A:A,zones_lookup!C:C,"Not found")</f>
        <v>1288000</v>
      </c>
    </row>
    <row r="249" spans="1:12" x14ac:dyDescent="0.3">
      <c r="A249" s="2">
        <v>45696</v>
      </c>
      <c r="B249" t="s">
        <v>41</v>
      </c>
      <c r="C249" t="s">
        <v>42</v>
      </c>
      <c r="D249">
        <v>2</v>
      </c>
      <c r="E249">
        <v>15.4</v>
      </c>
      <c r="F249">
        <v>83.5</v>
      </c>
      <c r="G249">
        <v>2</v>
      </c>
      <c r="H249">
        <v>2</v>
      </c>
      <c r="I249" t="s">
        <v>1665</v>
      </c>
      <c r="J249">
        <v>7.7</v>
      </c>
      <c r="K249" t="str">
        <f>_xlfn.XLOOKUP(B249,zones_lookup!A:A,zones_lookup!B:B,"Not found")</f>
        <v>Mrs. Adisa</v>
      </c>
      <c r="L249">
        <f>_xlfn.XLOOKUP(B249,zones_lookup!A:A,zones_lookup!C:C,"Not found")</f>
        <v>633000</v>
      </c>
    </row>
    <row r="250" spans="1:12" x14ac:dyDescent="0.3">
      <c r="A250" s="2">
        <v>46005</v>
      </c>
      <c r="B250" t="s">
        <v>108</v>
      </c>
      <c r="C250" t="s">
        <v>169</v>
      </c>
      <c r="D250">
        <v>4</v>
      </c>
      <c r="E250">
        <v>31.9</v>
      </c>
      <c r="F250">
        <v>148</v>
      </c>
      <c r="G250">
        <v>0</v>
      </c>
      <c r="H250">
        <v>12</v>
      </c>
      <c r="I250" t="s">
        <v>1671</v>
      </c>
      <c r="J250">
        <v>7.9749999999999996</v>
      </c>
      <c r="K250" t="str">
        <f>_xlfn.XLOOKUP(B250,zones_lookup!A:A,zones_lookup!B:B,"Not found")</f>
        <v>Mrs. Okafor</v>
      </c>
      <c r="L250">
        <f>_xlfn.XLOOKUP(B250,zones_lookup!A:A,zones_lookup!C:C,"Not found")</f>
        <v>503000</v>
      </c>
    </row>
    <row r="251" spans="1:12" x14ac:dyDescent="0.3">
      <c r="A251" s="2">
        <v>45666</v>
      </c>
      <c r="B251" t="s">
        <v>41</v>
      </c>
      <c r="C251" t="s">
        <v>73</v>
      </c>
      <c r="D251">
        <v>6</v>
      </c>
      <c r="E251">
        <v>50.1</v>
      </c>
      <c r="F251">
        <v>184.8</v>
      </c>
      <c r="G251">
        <v>0</v>
      </c>
      <c r="H251">
        <v>1</v>
      </c>
      <c r="I251" t="s">
        <v>1660</v>
      </c>
      <c r="J251">
        <v>8.35</v>
      </c>
      <c r="K251" t="str">
        <f>_xlfn.XLOOKUP(B251,zones_lookup!A:A,zones_lookup!B:B,"Not found")</f>
        <v>Mrs. Adisa</v>
      </c>
      <c r="L251">
        <f>_xlfn.XLOOKUP(B251,zones_lookup!A:A,zones_lookup!C:C,"Not found")</f>
        <v>633000</v>
      </c>
    </row>
    <row r="252" spans="1:12" x14ac:dyDescent="0.3">
      <c r="A252" s="2">
        <v>45827</v>
      </c>
      <c r="B252" t="s">
        <v>89</v>
      </c>
      <c r="C252" t="s">
        <v>131</v>
      </c>
      <c r="D252">
        <v>5</v>
      </c>
      <c r="E252">
        <v>32.1</v>
      </c>
      <c r="F252">
        <v>203.4</v>
      </c>
      <c r="G252">
        <v>1</v>
      </c>
      <c r="H252">
        <v>6</v>
      </c>
      <c r="I252" t="s">
        <v>1667</v>
      </c>
      <c r="J252">
        <v>6.42</v>
      </c>
      <c r="K252" t="str">
        <f>_xlfn.XLOOKUP(B252,zones_lookup!A:A,zones_lookup!B:B,"Not found")</f>
        <v>Mr. Salami</v>
      </c>
      <c r="L252">
        <f>_xlfn.XLOOKUP(B252,zones_lookup!A:A,zones_lookup!C:C,"Not found")</f>
        <v>200000</v>
      </c>
    </row>
    <row r="253" spans="1:12" x14ac:dyDescent="0.3">
      <c r="A253" s="2">
        <v>45744</v>
      </c>
      <c r="B253" t="s">
        <v>60</v>
      </c>
      <c r="C253" t="s">
        <v>61</v>
      </c>
      <c r="D253">
        <v>6</v>
      </c>
      <c r="E253">
        <v>22</v>
      </c>
      <c r="F253">
        <v>251.7</v>
      </c>
      <c r="G253">
        <v>1</v>
      </c>
      <c r="H253">
        <v>3</v>
      </c>
      <c r="I253" t="s">
        <v>1662</v>
      </c>
      <c r="J253">
        <v>3.6666666666666665</v>
      </c>
      <c r="K253" t="str">
        <f>_xlfn.XLOOKUP(B253,zones_lookup!A:A,zones_lookup!B:B,"Not found")</f>
        <v>Mrs. Eze</v>
      </c>
      <c r="L253">
        <f>_xlfn.XLOOKUP(B253,zones_lookup!A:A,zones_lookup!C:C,"Not found")</f>
        <v>535000</v>
      </c>
    </row>
    <row r="254" spans="1:12" x14ac:dyDescent="0.3">
      <c r="A254" s="2">
        <v>45750</v>
      </c>
      <c r="B254" t="s">
        <v>76</v>
      </c>
      <c r="C254" t="s">
        <v>84</v>
      </c>
      <c r="D254">
        <v>3</v>
      </c>
      <c r="E254">
        <v>17.899999999999999</v>
      </c>
      <c r="F254">
        <v>122</v>
      </c>
      <c r="G254">
        <v>0</v>
      </c>
      <c r="H254">
        <v>4</v>
      </c>
      <c r="I254" t="s">
        <v>1668</v>
      </c>
      <c r="J254">
        <v>5.9666666666666659</v>
      </c>
      <c r="K254" t="str">
        <f>_xlfn.XLOOKUP(B254,zones_lookup!A:A,zones_lookup!B:B,"Not found")</f>
        <v>Mr. Adeyemi</v>
      </c>
      <c r="L254">
        <f>_xlfn.XLOOKUP(B254,zones_lookup!A:A,zones_lookup!C:C,"Not found")</f>
        <v>313000</v>
      </c>
    </row>
    <row r="255" spans="1:12" x14ac:dyDescent="0.3">
      <c r="A255" s="2">
        <v>45661</v>
      </c>
      <c r="B255" t="s">
        <v>60</v>
      </c>
      <c r="C255" t="s">
        <v>64</v>
      </c>
      <c r="D255">
        <v>6</v>
      </c>
      <c r="E255">
        <v>21.9</v>
      </c>
      <c r="F255">
        <v>226.5</v>
      </c>
      <c r="G255">
        <v>2</v>
      </c>
      <c r="H255">
        <v>1</v>
      </c>
      <c r="I255" t="s">
        <v>1660</v>
      </c>
      <c r="J255">
        <v>3.65</v>
      </c>
      <c r="K255" t="str">
        <f>_xlfn.XLOOKUP(B255,zones_lookup!A:A,zones_lookup!B:B,"Not found")</f>
        <v>Mrs. Eze</v>
      </c>
      <c r="L255">
        <f>_xlfn.XLOOKUP(B255,zones_lookup!A:A,zones_lookup!C:C,"Not found")</f>
        <v>535000</v>
      </c>
    </row>
    <row r="256" spans="1:12" x14ac:dyDescent="0.3">
      <c r="A256" s="2">
        <v>45955</v>
      </c>
      <c r="B256" t="s">
        <v>108</v>
      </c>
      <c r="C256" t="s">
        <v>109</v>
      </c>
      <c r="D256">
        <v>6</v>
      </c>
      <c r="E256">
        <v>39.6</v>
      </c>
      <c r="F256">
        <v>237.2</v>
      </c>
      <c r="G256">
        <v>1</v>
      </c>
      <c r="H256">
        <v>10</v>
      </c>
      <c r="I256" t="s">
        <v>1669</v>
      </c>
      <c r="J256">
        <v>6.6000000000000005</v>
      </c>
      <c r="K256" t="str">
        <f>_xlfn.XLOOKUP(B256,zones_lookup!A:A,zones_lookup!B:B,"Not found")</f>
        <v>Mrs. Okafor</v>
      </c>
      <c r="L256">
        <f>_xlfn.XLOOKUP(B256,zones_lookup!A:A,zones_lookup!C:C,"Not found")</f>
        <v>503000</v>
      </c>
    </row>
    <row r="257" spans="1:12" x14ac:dyDescent="0.3">
      <c r="A257" s="2">
        <v>45992</v>
      </c>
      <c r="B257" t="s">
        <v>93</v>
      </c>
      <c r="C257" t="s">
        <v>101</v>
      </c>
      <c r="D257">
        <v>4</v>
      </c>
      <c r="E257">
        <v>19.399999999999999</v>
      </c>
      <c r="F257">
        <v>167.6</v>
      </c>
      <c r="G257">
        <v>3</v>
      </c>
      <c r="H257">
        <v>12</v>
      </c>
      <c r="I257" t="s">
        <v>1671</v>
      </c>
      <c r="J257">
        <v>4.8499999999999996</v>
      </c>
      <c r="K257" t="str">
        <f>_xlfn.XLOOKUP(B257,zones_lookup!A:A,zones_lookup!B:B,"Not found")</f>
        <v>Mr. Ogunleye</v>
      </c>
      <c r="L257">
        <f>_xlfn.XLOOKUP(B257,zones_lookup!A:A,zones_lookup!C:C,"Not found")</f>
        <v>181000</v>
      </c>
    </row>
    <row r="258" spans="1:12" x14ac:dyDescent="0.3">
      <c r="A258" s="2">
        <v>45900</v>
      </c>
      <c r="B258" t="s">
        <v>60</v>
      </c>
      <c r="C258" t="s">
        <v>69</v>
      </c>
      <c r="D258">
        <v>3</v>
      </c>
      <c r="E258">
        <v>12.5</v>
      </c>
      <c r="F258">
        <v>108.8</v>
      </c>
      <c r="G258">
        <v>1</v>
      </c>
      <c r="H258">
        <v>8</v>
      </c>
      <c r="I258" t="s">
        <v>1666</v>
      </c>
      <c r="J258">
        <v>4.166666666666667</v>
      </c>
      <c r="K258" t="str">
        <f>_xlfn.XLOOKUP(B258,zones_lookup!A:A,zones_lookup!B:B,"Not found")</f>
        <v>Mrs. Eze</v>
      </c>
      <c r="L258">
        <f>_xlfn.XLOOKUP(B258,zones_lookup!A:A,zones_lookup!C:C,"Not found")</f>
        <v>535000</v>
      </c>
    </row>
    <row r="259" spans="1:12" x14ac:dyDescent="0.3">
      <c r="A259" s="2">
        <v>45867</v>
      </c>
      <c r="B259" t="s">
        <v>108</v>
      </c>
      <c r="C259" t="s">
        <v>169</v>
      </c>
      <c r="D259">
        <v>4</v>
      </c>
      <c r="E259">
        <v>26.7</v>
      </c>
      <c r="F259">
        <v>152.30000000000001</v>
      </c>
      <c r="G259">
        <v>1</v>
      </c>
      <c r="H259">
        <v>7</v>
      </c>
      <c r="I259" t="s">
        <v>1661</v>
      </c>
      <c r="J259">
        <v>6.6749999999999998</v>
      </c>
      <c r="K259" t="str">
        <f>_xlfn.XLOOKUP(B259,zones_lookup!A:A,zones_lookup!B:B,"Not found")</f>
        <v>Mrs. Okafor</v>
      </c>
      <c r="L259">
        <f>_xlfn.XLOOKUP(B259,zones_lookup!A:A,zones_lookup!C:C,"Not found")</f>
        <v>503000</v>
      </c>
    </row>
    <row r="260" spans="1:12" x14ac:dyDescent="0.3">
      <c r="A260" s="2">
        <v>45997</v>
      </c>
      <c r="B260" t="s">
        <v>76</v>
      </c>
      <c r="C260" t="s">
        <v>84</v>
      </c>
      <c r="D260">
        <v>4</v>
      </c>
      <c r="E260">
        <v>40.1</v>
      </c>
      <c r="F260">
        <v>157.1</v>
      </c>
      <c r="G260">
        <v>0</v>
      </c>
      <c r="H260">
        <v>12</v>
      </c>
      <c r="I260" t="s">
        <v>1671</v>
      </c>
      <c r="J260">
        <v>10.025</v>
      </c>
      <c r="K260" t="str">
        <f>_xlfn.XLOOKUP(B260,zones_lookup!A:A,zones_lookup!B:B,"Not found")</f>
        <v>Mr. Adeyemi</v>
      </c>
      <c r="L260">
        <f>_xlfn.XLOOKUP(B260,zones_lookup!A:A,zones_lookup!C:C,"Not found")</f>
        <v>313000</v>
      </c>
    </row>
    <row r="261" spans="1:12" x14ac:dyDescent="0.3">
      <c r="A261" s="2">
        <v>45731</v>
      </c>
      <c r="B261" t="s">
        <v>89</v>
      </c>
      <c r="C261" t="s">
        <v>131</v>
      </c>
      <c r="D261">
        <v>6</v>
      </c>
      <c r="E261">
        <v>31.7</v>
      </c>
      <c r="F261">
        <v>180.5</v>
      </c>
      <c r="G261">
        <v>2</v>
      </c>
      <c r="H261">
        <v>3</v>
      </c>
      <c r="I261" t="s">
        <v>1662</v>
      </c>
      <c r="J261">
        <v>5.2833333333333332</v>
      </c>
      <c r="K261" t="str">
        <f>_xlfn.XLOOKUP(B261,zones_lookup!A:A,zones_lookup!B:B,"Not found")</f>
        <v>Mr. Salami</v>
      </c>
      <c r="L261">
        <f>_xlfn.XLOOKUP(B261,zones_lookup!A:A,zones_lookup!C:C,"Not found")</f>
        <v>200000</v>
      </c>
    </row>
    <row r="262" spans="1:12" x14ac:dyDescent="0.3">
      <c r="A262" s="2">
        <v>45839</v>
      </c>
      <c r="B262" t="s">
        <v>93</v>
      </c>
      <c r="C262" t="s">
        <v>101</v>
      </c>
      <c r="D262">
        <v>6</v>
      </c>
      <c r="E262">
        <v>22</v>
      </c>
      <c r="F262">
        <v>218.4</v>
      </c>
      <c r="G262">
        <v>2</v>
      </c>
      <c r="H262">
        <v>7</v>
      </c>
      <c r="I262" t="s">
        <v>1661</v>
      </c>
      <c r="J262">
        <v>3.6666666666666665</v>
      </c>
      <c r="K262" t="str">
        <f>_xlfn.XLOOKUP(B262,zones_lookup!A:A,zones_lookup!B:B,"Not found")</f>
        <v>Mr. Ogunleye</v>
      </c>
      <c r="L262">
        <f>_xlfn.XLOOKUP(B262,zones_lookup!A:A,zones_lookup!C:C,"Not found")</f>
        <v>181000</v>
      </c>
    </row>
    <row r="263" spans="1:12" x14ac:dyDescent="0.3">
      <c r="A263" s="2">
        <v>45968</v>
      </c>
      <c r="B263" t="s">
        <v>76</v>
      </c>
      <c r="C263" t="s">
        <v>77</v>
      </c>
      <c r="D263">
        <v>3</v>
      </c>
      <c r="E263">
        <v>18</v>
      </c>
      <c r="F263">
        <v>110.5</v>
      </c>
      <c r="G263">
        <v>1</v>
      </c>
      <c r="H263">
        <v>11</v>
      </c>
      <c r="I263" t="s">
        <v>1664</v>
      </c>
      <c r="J263">
        <v>6</v>
      </c>
      <c r="K263" t="str">
        <f>_xlfn.XLOOKUP(B263,zones_lookup!A:A,zones_lookup!B:B,"Not found")</f>
        <v>Mr. Adeyemi</v>
      </c>
      <c r="L263">
        <f>_xlfn.XLOOKUP(B263,zones_lookup!A:A,zones_lookup!C:C,"Not found")</f>
        <v>313000</v>
      </c>
    </row>
    <row r="264" spans="1:12" x14ac:dyDescent="0.3">
      <c r="A264" s="2">
        <v>45669</v>
      </c>
      <c r="B264" t="s">
        <v>60</v>
      </c>
      <c r="C264" t="s">
        <v>64</v>
      </c>
      <c r="D264">
        <v>2</v>
      </c>
      <c r="E264">
        <v>10.199999999999999</v>
      </c>
      <c r="F264">
        <v>58.7</v>
      </c>
      <c r="G264">
        <v>5</v>
      </c>
      <c r="H264">
        <v>1</v>
      </c>
      <c r="I264" t="s">
        <v>1660</v>
      </c>
      <c r="J264">
        <v>5.0999999999999996</v>
      </c>
      <c r="K264" t="str">
        <f>_xlfn.XLOOKUP(B264,zones_lookup!A:A,zones_lookup!B:B,"Not found")</f>
        <v>Mrs. Eze</v>
      </c>
      <c r="L264">
        <f>_xlfn.XLOOKUP(B264,zones_lookup!A:A,zones_lookup!C:C,"Not found")</f>
        <v>535000</v>
      </c>
    </row>
    <row r="265" spans="1:12" x14ac:dyDescent="0.3">
      <c r="A265" s="2">
        <v>45875</v>
      </c>
      <c r="B265" t="s">
        <v>76</v>
      </c>
      <c r="C265" t="s">
        <v>84</v>
      </c>
      <c r="D265">
        <v>2</v>
      </c>
      <c r="E265">
        <v>14.2</v>
      </c>
      <c r="F265">
        <v>76.400000000000006</v>
      </c>
      <c r="G265">
        <v>2</v>
      </c>
      <c r="H265">
        <v>8</v>
      </c>
      <c r="I265" t="s">
        <v>1666</v>
      </c>
      <c r="J265">
        <v>7.1</v>
      </c>
      <c r="K265" t="str">
        <f>_xlfn.XLOOKUP(B265,zones_lookup!A:A,zones_lookup!B:B,"Not found")</f>
        <v>Mr. Adeyemi</v>
      </c>
      <c r="L265">
        <f>_xlfn.XLOOKUP(B265,zones_lookup!A:A,zones_lookup!C:C,"Not found")</f>
        <v>313000</v>
      </c>
    </row>
    <row r="266" spans="1:12" x14ac:dyDescent="0.3">
      <c r="A266" s="2">
        <v>45988</v>
      </c>
      <c r="B266" t="s">
        <v>60</v>
      </c>
      <c r="C266" t="s">
        <v>64</v>
      </c>
      <c r="D266">
        <v>3</v>
      </c>
      <c r="E266">
        <v>14.3</v>
      </c>
      <c r="F266">
        <v>111.2</v>
      </c>
      <c r="G266">
        <v>4</v>
      </c>
      <c r="H266">
        <v>11</v>
      </c>
      <c r="I266" t="s">
        <v>1664</v>
      </c>
      <c r="J266">
        <v>4.7666666666666666</v>
      </c>
      <c r="K266" t="str">
        <f>_xlfn.XLOOKUP(B266,zones_lookup!A:A,zones_lookup!B:B,"Not found")</f>
        <v>Mrs. Eze</v>
      </c>
      <c r="L266">
        <f>_xlfn.XLOOKUP(B266,zones_lookup!A:A,zones_lookup!C:C,"Not found")</f>
        <v>535000</v>
      </c>
    </row>
    <row r="267" spans="1:12" x14ac:dyDescent="0.3">
      <c r="A267" s="2">
        <v>45966</v>
      </c>
      <c r="B267" t="s">
        <v>89</v>
      </c>
      <c r="C267" t="s">
        <v>90</v>
      </c>
      <c r="D267">
        <v>3</v>
      </c>
      <c r="E267">
        <v>17.3</v>
      </c>
      <c r="F267">
        <v>93</v>
      </c>
      <c r="G267">
        <v>1</v>
      </c>
      <c r="H267">
        <v>11</v>
      </c>
      <c r="I267" t="s">
        <v>1664</v>
      </c>
      <c r="J267">
        <v>5.7666666666666666</v>
      </c>
      <c r="K267" t="str">
        <f>_xlfn.XLOOKUP(B267,zones_lookup!A:A,zones_lookup!B:B,"Not found")</f>
        <v>Mr. Salami</v>
      </c>
      <c r="L267">
        <f>_xlfn.XLOOKUP(B267,zones_lookup!A:A,zones_lookup!C:C,"Not found")</f>
        <v>200000</v>
      </c>
    </row>
    <row r="268" spans="1:12" x14ac:dyDescent="0.3">
      <c r="A268" s="2">
        <v>45979</v>
      </c>
      <c r="B268" t="s">
        <v>108</v>
      </c>
      <c r="C268" t="s">
        <v>109</v>
      </c>
      <c r="D268">
        <v>3</v>
      </c>
      <c r="E268">
        <v>17.399999999999999</v>
      </c>
      <c r="F268">
        <v>114.2</v>
      </c>
      <c r="G268">
        <v>0</v>
      </c>
      <c r="H268">
        <v>11</v>
      </c>
      <c r="I268" t="s">
        <v>1664</v>
      </c>
      <c r="J268">
        <v>5.8</v>
      </c>
      <c r="K268" t="str">
        <f>_xlfn.XLOOKUP(B268,zones_lookup!A:A,zones_lookup!B:B,"Not found")</f>
        <v>Mrs. Okafor</v>
      </c>
      <c r="L268">
        <f>_xlfn.XLOOKUP(B268,zones_lookup!A:A,zones_lookup!C:C,"Not found")</f>
        <v>503000</v>
      </c>
    </row>
    <row r="269" spans="1:12" x14ac:dyDescent="0.3">
      <c r="A269" s="2">
        <v>45718</v>
      </c>
      <c r="B269" t="s">
        <v>76</v>
      </c>
      <c r="C269" t="s">
        <v>80</v>
      </c>
      <c r="D269">
        <v>2</v>
      </c>
      <c r="E269">
        <v>14.8</v>
      </c>
      <c r="F269">
        <v>83.7</v>
      </c>
      <c r="G269">
        <v>1</v>
      </c>
      <c r="H269">
        <v>3</v>
      </c>
      <c r="I269" t="s">
        <v>1662</v>
      </c>
      <c r="J269">
        <v>7.4</v>
      </c>
      <c r="K269" t="str">
        <f>_xlfn.XLOOKUP(B269,zones_lookup!A:A,zones_lookup!B:B,"Not found")</f>
        <v>Mr. Adeyemi</v>
      </c>
      <c r="L269">
        <f>_xlfn.XLOOKUP(B269,zones_lookup!A:A,zones_lookup!C:C,"Not found")</f>
        <v>313000</v>
      </c>
    </row>
    <row r="270" spans="1:12" x14ac:dyDescent="0.3">
      <c r="A270" s="2">
        <v>45964</v>
      </c>
      <c r="B270" t="s">
        <v>60</v>
      </c>
      <c r="C270" t="s">
        <v>69</v>
      </c>
      <c r="D270">
        <v>3</v>
      </c>
      <c r="E270">
        <v>14.2</v>
      </c>
      <c r="F270">
        <v>131.30000000000001</v>
      </c>
      <c r="G270">
        <v>1</v>
      </c>
      <c r="H270">
        <v>11</v>
      </c>
      <c r="I270" t="s">
        <v>1664</v>
      </c>
      <c r="J270">
        <v>4.7333333333333334</v>
      </c>
      <c r="K270" t="str">
        <f>_xlfn.XLOOKUP(B270,zones_lookup!A:A,zones_lookup!B:B,"Not found")</f>
        <v>Mrs. Eze</v>
      </c>
      <c r="L270">
        <f>_xlfn.XLOOKUP(B270,zones_lookup!A:A,zones_lookup!C:C,"Not found")</f>
        <v>535000</v>
      </c>
    </row>
    <row r="271" spans="1:12" x14ac:dyDescent="0.3">
      <c r="A271" s="2">
        <v>46014</v>
      </c>
      <c r="B271" t="s">
        <v>108</v>
      </c>
      <c r="C271" t="s">
        <v>208</v>
      </c>
      <c r="D271">
        <v>3</v>
      </c>
      <c r="E271">
        <v>25.5</v>
      </c>
      <c r="F271">
        <v>112.7</v>
      </c>
      <c r="G271">
        <v>1</v>
      </c>
      <c r="H271">
        <v>12</v>
      </c>
      <c r="I271" t="s">
        <v>1671</v>
      </c>
      <c r="J271">
        <v>8.5</v>
      </c>
      <c r="K271" t="str">
        <f>_xlfn.XLOOKUP(B271,zones_lookup!A:A,zones_lookup!B:B,"Not found")</f>
        <v>Mrs. Okafor</v>
      </c>
      <c r="L271">
        <f>_xlfn.XLOOKUP(B271,zones_lookup!A:A,zones_lookup!C:C,"Not found")</f>
        <v>503000</v>
      </c>
    </row>
    <row r="272" spans="1:12" x14ac:dyDescent="0.3">
      <c r="A272" s="2">
        <v>45847</v>
      </c>
      <c r="B272" t="s">
        <v>49</v>
      </c>
      <c r="C272" t="s">
        <v>50</v>
      </c>
      <c r="D272">
        <v>5</v>
      </c>
      <c r="E272">
        <v>18.7</v>
      </c>
      <c r="F272">
        <v>173.3</v>
      </c>
      <c r="G272">
        <v>3</v>
      </c>
      <c r="H272">
        <v>7</v>
      </c>
      <c r="I272" t="s">
        <v>1661</v>
      </c>
      <c r="J272">
        <v>3.7399999999999998</v>
      </c>
      <c r="K272" t="str">
        <f>_xlfn.XLOOKUP(B272,zones_lookup!A:A,zones_lookup!B:B,"Not found")</f>
        <v>Mrs. Johnson</v>
      </c>
      <c r="L272">
        <f>_xlfn.XLOOKUP(B272,zones_lookup!A:A,zones_lookup!C:C,"Not found")</f>
        <v>241000</v>
      </c>
    </row>
    <row r="273" spans="1:12" x14ac:dyDescent="0.3">
      <c r="A273" s="2">
        <v>45892</v>
      </c>
      <c r="B273" t="s">
        <v>60</v>
      </c>
      <c r="C273" t="s">
        <v>61</v>
      </c>
      <c r="D273">
        <v>3</v>
      </c>
      <c r="E273">
        <v>12.1</v>
      </c>
      <c r="F273">
        <v>85.2</v>
      </c>
      <c r="G273">
        <v>5</v>
      </c>
      <c r="H273">
        <v>8</v>
      </c>
      <c r="I273" t="s">
        <v>1666</v>
      </c>
      <c r="J273">
        <v>4.0333333333333332</v>
      </c>
      <c r="K273" t="str">
        <f>_xlfn.XLOOKUP(B273,zones_lookup!A:A,zones_lookup!B:B,"Not found")</f>
        <v>Mrs. Eze</v>
      </c>
      <c r="L273">
        <f>_xlfn.XLOOKUP(B273,zones_lookup!A:A,zones_lookup!C:C,"Not found")</f>
        <v>535000</v>
      </c>
    </row>
    <row r="274" spans="1:12" x14ac:dyDescent="0.3">
      <c r="A274" s="2">
        <v>45876</v>
      </c>
      <c r="B274" t="s">
        <v>60</v>
      </c>
      <c r="C274" t="s">
        <v>61</v>
      </c>
      <c r="D274">
        <v>4</v>
      </c>
      <c r="E274">
        <v>17.100000000000001</v>
      </c>
      <c r="F274">
        <v>169.7</v>
      </c>
      <c r="G274">
        <v>4</v>
      </c>
      <c r="H274">
        <v>8</v>
      </c>
      <c r="I274" t="s">
        <v>1666</v>
      </c>
      <c r="J274">
        <v>4.2750000000000004</v>
      </c>
      <c r="K274" t="str">
        <f>_xlfn.XLOOKUP(B274,zones_lookup!A:A,zones_lookup!B:B,"Not found")</f>
        <v>Mrs. Eze</v>
      </c>
      <c r="L274">
        <f>_xlfn.XLOOKUP(B274,zones_lookup!A:A,zones_lookup!C:C,"Not found")</f>
        <v>535000</v>
      </c>
    </row>
    <row r="275" spans="1:12" x14ac:dyDescent="0.3">
      <c r="A275" s="2">
        <v>45844</v>
      </c>
      <c r="B275" t="s">
        <v>93</v>
      </c>
      <c r="C275" t="s">
        <v>101</v>
      </c>
      <c r="D275">
        <v>3</v>
      </c>
      <c r="E275">
        <v>11.5</v>
      </c>
      <c r="F275">
        <v>134.69999999999999</v>
      </c>
      <c r="G275">
        <v>2</v>
      </c>
      <c r="H275">
        <v>7</v>
      </c>
      <c r="I275" t="s">
        <v>1661</v>
      </c>
      <c r="J275">
        <v>3.8333333333333335</v>
      </c>
      <c r="K275" t="str">
        <f>_xlfn.XLOOKUP(B275,zones_lookup!A:A,zones_lookup!B:B,"Not found")</f>
        <v>Mr. Ogunleye</v>
      </c>
      <c r="L275">
        <f>_xlfn.XLOOKUP(B275,zones_lookup!A:A,zones_lookup!C:C,"Not found")</f>
        <v>181000</v>
      </c>
    </row>
    <row r="276" spans="1:12" x14ac:dyDescent="0.3">
      <c r="A276" s="2">
        <v>45749</v>
      </c>
      <c r="B276" t="s">
        <v>27</v>
      </c>
      <c r="C276" t="s">
        <v>31</v>
      </c>
      <c r="D276">
        <v>3</v>
      </c>
      <c r="E276">
        <v>19.5</v>
      </c>
      <c r="F276">
        <v>118.3</v>
      </c>
      <c r="G276">
        <v>1</v>
      </c>
      <c r="H276">
        <v>4</v>
      </c>
      <c r="I276" t="s">
        <v>1668</v>
      </c>
      <c r="J276">
        <v>6.5</v>
      </c>
      <c r="K276" t="str">
        <f>_xlfn.XLOOKUP(B276,zones_lookup!A:A,zones_lookup!B:B,"Not found")</f>
        <v>Mr. Bello</v>
      </c>
      <c r="L276">
        <f>_xlfn.XLOOKUP(B276,zones_lookup!A:A,zones_lookup!C:C,"Not found")</f>
        <v>1288000</v>
      </c>
    </row>
    <row r="277" spans="1:12" x14ac:dyDescent="0.3">
      <c r="A277" s="2">
        <v>45957</v>
      </c>
      <c r="B277" t="s">
        <v>89</v>
      </c>
      <c r="C277" t="s">
        <v>90</v>
      </c>
      <c r="D277">
        <v>5</v>
      </c>
      <c r="E277">
        <v>28.4</v>
      </c>
      <c r="F277">
        <v>178.9</v>
      </c>
      <c r="G277">
        <v>1</v>
      </c>
      <c r="H277">
        <v>10</v>
      </c>
      <c r="I277" t="s">
        <v>1669</v>
      </c>
      <c r="J277">
        <v>5.68</v>
      </c>
      <c r="K277" t="str">
        <f>_xlfn.XLOOKUP(B277,zones_lookup!A:A,zones_lookup!B:B,"Not found")</f>
        <v>Mr. Salami</v>
      </c>
      <c r="L277">
        <f>_xlfn.XLOOKUP(B277,zones_lookup!A:A,zones_lookup!C:C,"Not found")</f>
        <v>200000</v>
      </c>
    </row>
    <row r="278" spans="1:12" x14ac:dyDescent="0.3">
      <c r="A278" s="2">
        <v>45870</v>
      </c>
      <c r="B278" t="s">
        <v>76</v>
      </c>
      <c r="C278" t="s">
        <v>84</v>
      </c>
      <c r="D278">
        <v>5</v>
      </c>
      <c r="E278">
        <v>36.6</v>
      </c>
      <c r="F278">
        <v>226.7</v>
      </c>
      <c r="G278">
        <v>1</v>
      </c>
      <c r="H278">
        <v>8</v>
      </c>
      <c r="I278" t="s">
        <v>1666</v>
      </c>
      <c r="J278">
        <v>7.32</v>
      </c>
      <c r="K278" t="str">
        <f>_xlfn.XLOOKUP(B278,zones_lookup!A:A,zones_lookup!B:B,"Not found")</f>
        <v>Mr. Adeyemi</v>
      </c>
      <c r="L278">
        <f>_xlfn.XLOOKUP(B278,zones_lookup!A:A,zones_lookup!C:C,"Not found")</f>
        <v>313000</v>
      </c>
    </row>
    <row r="279" spans="1:12" x14ac:dyDescent="0.3">
      <c r="A279" s="2">
        <v>45674</v>
      </c>
      <c r="B279" t="s">
        <v>89</v>
      </c>
      <c r="C279" t="s">
        <v>90</v>
      </c>
      <c r="D279">
        <v>2</v>
      </c>
      <c r="E279">
        <v>11.4</v>
      </c>
      <c r="F279">
        <v>65.900000000000006</v>
      </c>
      <c r="G279">
        <v>0</v>
      </c>
      <c r="H279">
        <v>1</v>
      </c>
      <c r="I279" t="s">
        <v>1660</v>
      </c>
      <c r="J279">
        <v>5.7</v>
      </c>
      <c r="K279" t="str">
        <f>_xlfn.XLOOKUP(B279,zones_lookup!A:A,zones_lookup!B:B,"Not found")</f>
        <v>Mr. Salami</v>
      </c>
      <c r="L279">
        <f>_xlfn.XLOOKUP(B279,zones_lookup!A:A,zones_lookup!C:C,"Not found")</f>
        <v>200000</v>
      </c>
    </row>
    <row r="280" spans="1:12" x14ac:dyDescent="0.3">
      <c r="A280" s="2">
        <v>45945</v>
      </c>
      <c r="B280" t="s">
        <v>93</v>
      </c>
      <c r="C280" t="s">
        <v>66</v>
      </c>
      <c r="D280">
        <v>5</v>
      </c>
      <c r="E280">
        <v>21.4</v>
      </c>
      <c r="F280">
        <v>167.9</v>
      </c>
      <c r="G280">
        <v>4</v>
      </c>
      <c r="H280">
        <v>10</v>
      </c>
      <c r="I280" t="s">
        <v>1669</v>
      </c>
      <c r="J280">
        <v>4.2799999999999994</v>
      </c>
      <c r="K280" t="str">
        <f>_xlfn.XLOOKUP(B280,zones_lookup!A:A,zones_lookup!B:B,"Not found")</f>
        <v>Mr. Ogunleye</v>
      </c>
      <c r="L280">
        <f>_xlfn.XLOOKUP(B280,zones_lookup!A:A,zones_lookup!C:C,"Not found")</f>
        <v>181000</v>
      </c>
    </row>
    <row r="281" spans="1:12" x14ac:dyDescent="0.3">
      <c r="A281" s="2">
        <v>45680</v>
      </c>
      <c r="B281" t="s">
        <v>49</v>
      </c>
      <c r="C281" t="s">
        <v>50</v>
      </c>
      <c r="D281">
        <v>3</v>
      </c>
      <c r="E281">
        <v>11.7</v>
      </c>
      <c r="F281">
        <v>109.8</v>
      </c>
      <c r="G281">
        <v>3</v>
      </c>
      <c r="H281">
        <v>1</v>
      </c>
      <c r="I281" t="s">
        <v>1660</v>
      </c>
      <c r="J281">
        <v>3.9</v>
      </c>
      <c r="K281" t="str">
        <f>_xlfn.XLOOKUP(B281,zones_lookup!A:A,zones_lookup!B:B,"Not found")</f>
        <v>Mrs. Johnson</v>
      </c>
      <c r="L281">
        <f>_xlfn.XLOOKUP(B281,zones_lookup!A:A,zones_lookup!C:C,"Not found")</f>
        <v>241000</v>
      </c>
    </row>
    <row r="282" spans="1:12" x14ac:dyDescent="0.3">
      <c r="A282" s="2">
        <v>45669</v>
      </c>
      <c r="B282" t="s">
        <v>41</v>
      </c>
      <c r="C282" t="s">
        <v>42</v>
      </c>
      <c r="D282">
        <v>2</v>
      </c>
      <c r="E282">
        <v>12.3</v>
      </c>
      <c r="F282">
        <v>83.2</v>
      </c>
      <c r="G282">
        <v>1</v>
      </c>
      <c r="H282">
        <v>1</v>
      </c>
      <c r="I282" t="s">
        <v>1660</v>
      </c>
      <c r="J282">
        <v>6.15</v>
      </c>
      <c r="K282" t="str">
        <f>_xlfn.XLOOKUP(B282,zones_lookup!A:A,zones_lookup!B:B,"Not found")</f>
        <v>Mrs. Adisa</v>
      </c>
      <c r="L282">
        <f>_xlfn.XLOOKUP(B282,zones_lookup!A:A,zones_lookup!C:C,"Not found")</f>
        <v>633000</v>
      </c>
    </row>
    <row r="283" spans="1:12" x14ac:dyDescent="0.3">
      <c r="A283" s="2">
        <v>45975</v>
      </c>
      <c r="B283" t="s">
        <v>89</v>
      </c>
      <c r="C283" t="s">
        <v>90</v>
      </c>
      <c r="D283">
        <v>5</v>
      </c>
      <c r="E283">
        <v>32.4</v>
      </c>
      <c r="F283">
        <v>213.1</v>
      </c>
      <c r="G283">
        <v>3</v>
      </c>
      <c r="H283">
        <v>11</v>
      </c>
      <c r="I283" t="s">
        <v>1664</v>
      </c>
      <c r="J283">
        <v>6.4799999999999995</v>
      </c>
      <c r="K283" t="str">
        <f>_xlfn.XLOOKUP(B283,zones_lookup!A:A,zones_lookup!B:B,"Not found")</f>
        <v>Mr. Salami</v>
      </c>
      <c r="L283">
        <f>_xlfn.XLOOKUP(B283,zones_lookup!A:A,zones_lookup!C:C,"Not found")</f>
        <v>200000</v>
      </c>
    </row>
    <row r="284" spans="1:12" x14ac:dyDescent="0.3">
      <c r="A284" s="2">
        <v>45734</v>
      </c>
      <c r="B284" t="s">
        <v>93</v>
      </c>
      <c r="C284" t="s">
        <v>101</v>
      </c>
      <c r="D284">
        <v>3</v>
      </c>
      <c r="E284">
        <v>12.2</v>
      </c>
      <c r="F284">
        <v>119.8</v>
      </c>
      <c r="G284">
        <v>3</v>
      </c>
      <c r="H284">
        <v>3</v>
      </c>
      <c r="I284" t="s">
        <v>1662</v>
      </c>
      <c r="J284">
        <v>4.0666666666666664</v>
      </c>
      <c r="K284" t="str">
        <f>_xlfn.XLOOKUP(B284,zones_lookup!A:A,zones_lookup!B:B,"Not found")</f>
        <v>Mr. Ogunleye</v>
      </c>
      <c r="L284">
        <f>_xlfn.XLOOKUP(B284,zones_lookup!A:A,zones_lookup!C:C,"Not found")</f>
        <v>181000</v>
      </c>
    </row>
    <row r="285" spans="1:12" x14ac:dyDescent="0.3">
      <c r="A285" s="2">
        <v>46003</v>
      </c>
      <c r="B285" t="s">
        <v>49</v>
      </c>
      <c r="C285" t="s">
        <v>50</v>
      </c>
      <c r="D285">
        <v>2</v>
      </c>
      <c r="E285">
        <v>8.6999999999999993</v>
      </c>
      <c r="F285">
        <v>69.3</v>
      </c>
      <c r="G285">
        <v>2</v>
      </c>
      <c r="H285">
        <v>12</v>
      </c>
      <c r="I285" t="s">
        <v>1671</v>
      </c>
      <c r="J285">
        <v>4.3499999999999996</v>
      </c>
      <c r="K285" t="str">
        <f>_xlfn.XLOOKUP(B285,zones_lookup!A:A,zones_lookup!B:B,"Not found")</f>
        <v>Mrs. Johnson</v>
      </c>
      <c r="L285">
        <f>_xlfn.XLOOKUP(B285,zones_lookup!A:A,zones_lookup!C:C,"Not found")</f>
        <v>241000</v>
      </c>
    </row>
    <row r="286" spans="1:12" x14ac:dyDescent="0.3">
      <c r="A286" s="2">
        <v>45681</v>
      </c>
      <c r="B286" t="s">
        <v>27</v>
      </c>
      <c r="C286" t="s">
        <v>66</v>
      </c>
      <c r="D286">
        <v>3</v>
      </c>
      <c r="E286">
        <v>21.1</v>
      </c>
      <c r="F286">
        <v>99.1</v>
      </c>
      <c r="G286">
        <v>2</v>
      </c>
      <c r="H286">
        <v>1</v>
      </c>
      <c r="I286" t="s">
        <v>1660</v>
      </c>
      <c r="J286">
        <v>7.0333333333333341</v>
      </c>
      <c r="K286" t="str">
        <f>_xlfn.XLOOKUP(B286,zones_lookup!A:A,zones_lookup!B:B,"Not found")</f>
        <v>Mr. Bello</v>
      </c>
      <c r="L286">
        <f>_xlfn.XLOOKUP(B286,zones_lookup!A:A,zones_lookup!C:C,"Not found")</f>
        <v>1288000</v>
      </c>
    </row>
    <row r="287" spans="1:12" x14ac:dyDescent="0.3">
      <c r="A287" s="2">
        <v>45791</v>
      </c>
      <c r="B287" t="s">
        <v>93</v>
      </c>
      <c r="C287" t="s">
        <v>57</v>
      </c>
      <c r="D287">
        <v>2</v>
      </c>
      <c r="E287">
        <v>5.4</v>
      </c>
      <c r="F287">
        <v>90.7</v>
      </c>
      <c r="G287">
        <v>2</v>
      </c>
      <c r="H287">
        <v>5</v>
      </c>
      <c r="I287" t="s">
        <v>1663</v>
      </c>
      <c r="J287">
        <v>2.7</v>
      </c>
      <c r="K287" t="str">
        <f>_xlfn.XLOOKUP(B287,zones_lookup!A:A,zones_lookup!B:B,"Not found")</f>
        <v>Mr. Ogunleye</v>
      </c>
      <c r="L287">
        <f>_xlfn.XLOOKUP(B287,zones_lookup!A:A,zones_lookup!C:C,"Not found")</f>
        <v>181000</v>
      </c>
    </row>
    <row r="288" spans="1:12" x14ac:dyDescent="0.3">
      <c r="A288" s="2">
        <v>45835</v>
      </c>
      <c r="B288" t="s">
        <v>27</v>
      </c>
      <c r="C288" t="s">
        <v>31</v>
      </c>
      <c r="D288">
        <v>5</v>
      </c>
      <c r="E288">
        <v>37</v>
      </c>
      <c r="F288">
        <v>165.3</v>
      </c>
      <c r="G288">
        <v>1</v>
      </c>
      <c r="H288">
        <v>6</v>
      </c>
      <c r="I288" t="s">
        <v>1667</v>
      </c>
      <c r="J288">
        <v>7.4</v>
      </c>
      <c r="K288" t="str">
        <f>_xlfn.XLOOKUP(B288,zones_lookup!A:A,zones_lookup!B:B,"Not found")</f>
        <v>Mr. Bello</v>
      </c>
      <c r="L288">
        <f>_xlfn.XLOOKUP(B288,zones_lookup!A:A,zones_lookup!C:C,"Not found")</f>
        <v>1288000</v>
      </c>
    </row>
    <row r="289" spans="1:12" x14ac:dyDescent="0.3">
      <c r="A289" s="2">
        <v>45842</v>
      </c>
      <c r="B289" t="s">
        <v>49</v>
      </c>
      <c r="C289" t="s">
        <v>52</v>
      </c>
      <c r="D289">
        <v>5</v>
      </c>
      <c r="E289">
        <v>15.6</v>
      </c>
      <c r="F289">
        <v>204.1</v>
      </c>
      <c r="G289">
        <v>4</v>
      </c>
      <c r="H289">
        <v>7</v>
      </c>
      <c r="I289" t="s">
        <v>1661</v>
      </c>
      <c r="J289">
        <v>3.12</v>
      </c>
      <c r="K289" t="str">
        <f>_xlfn.XLOOKUP(B289,zones_lookup!A:A,zones_lookup!B:B,"Not found")</f>
        <v>Mrs. Johnson</v>
      </c>
      <c r="L289">
        <f>_xlfn.XLOOKUP(B289,zones_lookup!A:A,zones_lookup!C:C,"Not found")</f>
        <v>241000</v>
      </c>
    </row>
    <row r="290" spans="1:12" x14ac:dyDescent="0.3">
      <c r="A290" s="2">
        <v>45723</v>
      </c>
      <c r="B290" t="s">
        <v>89</v>
      </c>
      <c r="C290" t="s">
        <v>90</v>
      </c>
      <c r="D290">
        <v>4</v>
      </c>
      <c r="E290">
        <v>22.8</v>
      </c>
      <c r="F290">
        <v>146.80000000000001</v>
      </c>
      <c r="G290">
        <v>2</v>
      </c>
      <c r="H290">
        <v>3</v>
      </c>
      <c r="I290" t="s">
        <v>1662</v>
      </c>
      <c r="J290">
        <v>5.7</v>
      </c>
      <c r="K290" t="str">
        <f>_xlfn.XLOOKUP(B290,zones_lookup!A:A,zones_lookup!B:B,"Not found")</f>
        <v>Mr. Salami</v>
      </c>
      <c r="L290">
        <f>_xlfn.XLOOKUP(B290,zones_lookup!A:A,zones_lookup!C:C,"Not found")</f>
        <v>200000</v>
      </c>
    </row>
    <row r="291" spans="1:12" x14ac:dyDescent="0.3">
      <c r="A291" s="2">
        <v>45844</v>
      </c>
      <c r="B291" t="s">
        <v>89</v>
      </c>
      <c r="C291" t="s">
        <v>131</v>
      </c>
      <c r="D291">
        <v>3</v>
      </c>
      <c r="E291">
        <v>17.100000000000001</v>
      </c>
      <c r="F291">
        <v>101.3</v>
      </c>
      <c r="G291">
        <v>2</v>
      </c>
      <c r="H291">
        <v>7</v>
      </c>
      <c r="I291" t="s">
        <v>1661</v>
      </c>
      <c r="J291">
        <v>5.7</v>
      </c>
      <c r="K291" t="str">
        <f>_xlfn.XLOOKUP(B291,zones_lookup!A:A,zones_lookup!B:B,"Not found")</f>
        <v>Mr. Salami</v>
      </c>
      <c r="L291">
        <f>_xlfn.XLOOKUP(B291,zones_lookup!A:A,zones_lookup!C:C,"Not found")</f>
        <v>200000</v>
      </c>
    </row>
    <row r="292" spans="1:12" x14ac:dyDescent="0.3">
      <c r="A292" s="2">
        <v>45670</v>
      </c>
      <c r="B292" t="s">
        <v>76</v>
      </c>
      <c r="C292" t="s">
        <v>84</v>
      </c>
      <c r="D292">
        <v>3</v>
      </c>
      <c r="E292">
        <v>15.1</v>
      </c>
      <c r="F292">
        <v>141.9</v>
      </c>
      <c r="G292">
        <v>0</v>
      </c>
      <c r="H292">
        <v>1</v>
      </c>
      <c r="I292" t="s">
        <v>1660</v>
      </c>
      <c r="J292">
        <v>5.0333333333333332</v>
      </c>
      <c r="K292" t="str">
        <f>_xlfn.XLOOKUP(B292,zones_lookup!A:A,zones_lookup!B:B,"Not found")</f>
        <v>Mr. Adeyemi</v>
      </c>
      <c r="L292">
        <f>_xlfn.XLOOKUP(B292,zones_lookup!A:A,zones_lookup!C:C,"Not found")</f>
        <v>313000</v>
      </c>
    </row>
    <row r="293" spans="1:12" x14ac:dyDescent="0.3">
      <c r="A293" s="2">
        <v>45729</v>
      </c>
      <c r="B293" t="s">
        <v>49</v>
      </c>
      <c r="C293" t="s">
        <v>50</v>
      </c>
      <c r="D293">
        <v>4</v>
      </c>
      <c r="E293">
        <v>17.2</v>
      </c>
      <c r="F293">
        <v>148.80000000000001</v>
      </c>
      <c r="G293">
        <v>2</v>
      </c>
      <c r="H293">
        <v>3</v>
      </c>
      <c r="I293" t="s">
        <v>1662</v>
      </c>
      <c r="J293">
        <v>4.3</v>
      </c>
      <c r="K293" t="str">
        <f>_xlfn.XLOOKUP(B293,zones_lookup!A:A,zones_lookup!B:B,"Not found")</f>
        <v>Mrs. Johnson</v>
      </c>
      <c r="L293">
        <f>_xlfn.XLOOKUP(B293,zones_lookup!A:A,zones_lookup!C:C,"Not found")</f>
        <v>241000</v>
      </c>
    </row>
    <row r="294" spans="1:12" x14ac:dyDescent="0.3">
      <c r="A294" s="2">
        <v>46005</v>
      </c>
      <c r="B294" t="s">
        <v>93</v>
      </c>
      <c r="C294" t="s">
        <v>57</v>
      </c>
      <c r="D294">
        <v>2</v>
      </c>
      <c r="E294">
        <v>10</v>
      </c>
      <c r="F294">
        <v>64.5</v>
      </c>
      <c r="G294">
        <v>1</v>
      </c>
      <c r="H294">
        <v>12</v>
      </c>
      <c r="I294" t="s">
        <v>1671</v>
      </c>
      <c r="J294">
        <v>5</v>
      </c>
      <c r="K294" t="str">
        <f>_xlfn.XLOOKUP(B294,zones_lookup!A:A,zones_lookup!B:B,"Not found")</f>
        <v>Mr. Ogunleye</v>
      </c>
      <c r="L294">
        <f>_xlfn.XLOOKUP(B294,zones_lookup!A:A,zones_lookup!C:C,"Not found")</f>
        <v>181000</v>
      </c>
    </row>
    <row r="295" spans="1:12" x14ac:dyDescent="0.3">
      <c r="A295" s="2">
        <v>45922</v>
      </c>
      <c r="B295" t="s">
        <v>89</v>
      </c>
      <c r="C295" t="s">
        <v>131</v>
      </c>
      <c r="D295">
        <v>4</v>
      </c>
      <c r="E295">
        <v>17.5</v>
      </c>
      <c r="F295">
        <v>150.69999999999999</v>
      </c>
      <c r="G295">
        <v>4</v>
      </c>
      <c r="H295">
        <v>9</v>
      </c>
      <c r="I295" t="s">
        <v>1670</v>
      </c>
      <c r="J295">
        <v>4.375</v>
      </c>
      <c r="K295" t="str">
        <f>_xlfn.XLOOKUP(B295,zones_lookup!A:A,zones_lookup!B:B,"Not found")</f>
        <v>Mr. Salami</v>
      </c>
      <c r="L295">
        <f>_xlfn.XLOOKUP(B295,zones_lookup!A:A,zones_lookup!C:C,"Not found")</f>
        <v>200000</v>
      </c>
    </row>
    <row r="296" spans="1:12" x14ac:dyDescent="0.3">
      <c r="A296" s="2">
        <v>45826</v>
      </c>
      <c r="B296" t="s">
        <v>27</v>
      </c>
      <c r="C296" t="s">
        <v>31</v>
      </c>
      <c r="D296">
        <v>2</v>
      </c>
      <c r="E296">
        <v>15.1</v>
      </c>
      <c r="F296">
        <v>81.2</v>
      </c>
      <c r="G296">
        <v>1</v>
      </c>
      <c r="H296">
        <v>6</v>
      </c>
      <c r="I296" t="s">
        <v>1667</v>
      </c>
      <c r="J296">
        <v>7.55</v>
      </c>
      <c r="K296" t="str">
        <f>_xlfn.XLOOKUP(B296,zones_lookup!A:A,zones_lookup!B:B,"Not found")</f>
        <v>Mr. Bello</v>
      </c>
      <c r="L296">
        <f>_xlfn.XLOOKUP(B296,zones_lookup!A:A,zones_lookup!C:C,"Not found")</f>
        <v>1288000</v>
      </c>
    </row>
    <row r="297" spans="1:12" x14ac:dyDescent="0.3">
      <c r="A297" s="2">
        <v>45664</v>
      </c>
      <c r="B297" t="s">
        <v>27</v>
      </c>
      <c r="C297" t="s">
        <v>38</v>
      </c>
      <c r="D297">
        <v>6</v>
      </c>
      <c r="E297">
        <v>42.8</v>
      </c>
      <c r="F297">
        <v>247.2</v>
      </c>
      <c r="G297">
        <v>0</v>
      </c>
      <c r="H297">
        <v>1</v>
      </c>
      <c r="I297" t="s">
        <v>1660</v>
      </c>
      <c r="J297">
        <v>7.1333333333333329</v>
      </c>
      <c r="K297" t="str">
        <f>_xlfn.XLOOKUP(B297,zones_lookup!A:A,zones_lookup!B:B,"Not found")</f>
        <v>Mr. Bello</v>
      </c>
      <c r="L297">
        <f>_xlfn.XLOOKUP(B297,zones_lookup!A:A,zones_lookup!C:C,"Not found")</f>
        <v>1288000</v>
      </c>
    </row>
    <row r="298" spans="1:12" x14ac:dyDescent="0.3">
      <c r="A298" s="2">
        <v>45712</v>
      </c>
      <c r="B298" t="s">
        <v>41</v>
      </c>
      <c r="C298" t="s">
        <v>73</v>
      </c>
      <c r="D298">
        <v>5</v>
      </c>
      <c r="E298">
        <v>28.3</v>
      </c>
      <c r="F298">
        <v>171.2</v>
      </c>
      <c r="G298">
        <v>1</v>
      </c>
      <c r="H298">
        <v>2</v>
      </c>
      <c r="I298" t="s">
        <v>1665</v>
      </c>
      <c r="J298">
        <v>5.66</v>
      </c>
      <c r="K298" t="str">
        <f>_xlfn.XLOOKUP(B298,zones_lookup!A:A,zones_lookup!B:B,"Not found")</f>
        <v>Mrs. Adisa</v>
      </c>
      <c r="L298">
        <f>_xlfn.XLOOKUP(B298,zones_lookup!A:A,zones_lookup!C:C,"Not found")</f>
        <v>633000</v>
      </c>
    </row>
    <row r="299" spans="1:12" x14ac:dyDescent="0.3">
      <c r="A299" s="2">
        <v>45821</v>
      </c>
      <c r="B299" t="s">
        <v>89</v>
      </c>
      <c r="C299" t="s">
        <v>131</v>
      </c>
      <c r="D299">
        <v>6</v>
      </c>
      <c r="E299">
        <v>37.299999999999997</v>
      </c>
      <c r="F299">
        <v>231.9</v>
      </c>
      <c r="G299">
        <v>1</v>
      </c>
      <c r="H299">
        <v>6</v>
      </c>
      <c r="I299" t="s">
        <v>1667</v>
      </c>
      <c r="J299">
        <v>6.2166666666666659</v>
      </c>
      <c r="K299" t="str">
        <f>_xlfn.XLOOKUP(B299,zones_lookup!A:A,zones_lookup!B:B,"Not found")</f>
        <v>Mr. Salami</v>
      </c>
      <c r="L299">
        <f>_xlfn.XLOOKUP(B299,zones_lookup!A:A,zones_lookup!C:C,"Not found")</f>
        <v>200000</v>
      </c>
    </row>
    <row r="300" spans="1:12" x14ac:dyDescent="0.3">
      <c r="A300" s="2">
        <v>45847</v>
      </c>
      <c r="B300" t="s">
        <v>108</v>
      </c>
      <c r="C300" t="s">
        <v>109</v>
      </c>
      <c r="D300">
        <v>3</v>
      </c>
      <c r="E300">
        <v>16</v>
      </c>
      <c r="F300">
        <v>113.2</v>
      </c>
      <c r="G300">
        <v>1</v>
      </c>
      <c r="H300">
        <v>7</v>
      </c>
      <c r="I300" t="s">
        <v>1661</v>
      </c>
      <c r="J300">
        <v>5.333333333333333</v>
      </c>
      <c r="K300" t="str">
        <f>_xlfn.XLOOKUP(B300,zones_lookup!A:A,zones_lookup!B:B,"Not found")</f>
        <v>Mrs. Okafor</v>
      </c>
      <c r="L300">
        <f>_xlfn.XLOOKUP(B300,zones_lookup!A:A,zones_lookup!C:C,"Not found")</f>
        <v>503000</v>
      </c>
    </row>
    <row r="301" spans="1:12" x14ac:dyDescent="0.3">
      <c r="A301" s="2">
        <v>45741</v>
      </c>
      <c r="B301" t="s">
        <v>93</v>
      </c>
      <c r="C301" t="s">
        <v>101</v>
      </c>
      <c r="D301">
        <v>5</v>
      </c>
      <c r="E301">
        <v>16.7</v>
      </c>
      <c r="F301">
        <v>179.8</v>
      </c>
      <c r="G301">
        <v>2</v>
      </c>
      <c r="H301">
        <v>3</v>
      </c>
      <c r="I301" t="s">
        <v>1662</v>
      </c>
      <c r="J301">
        <v>3.34</v>
      </c>
      <c r="K301" t="str">
        <f>_xlfn.XLOOKUP(B301,zones_lookup!A:A,zones_lookup!B:B,"Not found")</f>
        <v>Mr. Ogunleye</v>
      </c>
      <c r="L301">
        <f>_xlfn.XLOOKUP(B301,zones_lookup!A:A,zones_lookup!C:C,"Not found")</f>
        <v>181000</v>
      </c>
    </row>
    <row r="302" spans="1:12" x14ac:dyDescent="0.3">
      <c r="A302" s="2">
        <v>45713</v>
      </c>
      <c r="B302" t="s">
        <v>76</v>
      </c>
      <c r="C302" t="s">
        <v>77</v>
      </c>
      <c r="D302">
        <v>3</v>
      </c>
      <c r="E302">
        <v>21.3</v>
      </c>
      <c r="F302">
        <v>99.7</v>
      </c>
      <c r="H302">
        <v>2</v>
      </c>
      <c r="I302" t="s">
        <v>1665</v>
      </c>
      <c r="J302">
        <v>7.1000000000000005</v>
      </c>
      <c r="K302" t="str">
        <f>_xlfn.XLOOKUP(B302,zones_lookup!A:A,zones_lookup!B:B,"Not found")</f>
        <v>Mr. Adeyemi</v>
      </c>
      <c r="L302">
        <f>_xlfn.XLOOKUP(B302,zones_lookup!A:A,zones_lookup!C:C,"Not found")</f>
        <v>313000</v>
      </c>
    </row>
    <row r="303" spans="1:12" x14ac:dyDescent="0.3">
      <c r="A303" s="2">
        <v>45882</v>
      </c>
      <c r="B303" t="s">
        <v>76</v>
      </c>
      <c r="C303" t="s">
        <v>84</v>
      </c>
      <c r="D303">
        <v>2</v>
      </c>
      <c r="E303">
        <v>12.4</v>
      </c>
      <c r="F303">
        <v>57.7</v>
      </c>
      <c r="G303">
        <v>0</v>
      </c>
      <c r="H303">
        <v>8</v>
      </c>
      <c r="I303" t="s">
        <v>1666</v>
      </c>
      <c r="J303">
        <v>6.2</v>
      </c>
      <c r="K303" t="str">
        <f>_xlfn.XLOOKUP(B303,zones_lookup!A:A,zones_lookup!B:B,"Not found")</f>
        <v>Mr. Adeyemi</v>
      </c>
      <c r="L303">
        <f>_xlfn.XLOOKUP(B303,zones_lookup!A:A,zones_lookup!C:C,"Not found")</f>
        <v>313000</v>
      </c>
    </row>
    <row r="304" spans="1:12" x14ac:dyDescent="0.3">
      <c r="A304" s="2">
        <v>45982</v>
      </c>
      <c r="B304" t="s">
        <v>89</v>
      </c>
      <c r="C304" t="s">
        <v>90</v>
      </c>
      <c r="D304">
        <v>5</v>
      </c>
      <c r="E304">
        <v>34.700000000000003</v>
      </c>
      <c r="F304">
        <v>168.7</v>
      </c>
      <c r="G304">
        <v>0</v>
      </c>
      <c r="H304">
        <v>11</v>
      </c>
      <c r="I304" t="s">
        <v>1664</v>
      </c>
      <c r="J304">
        <v>6.94</v>
      </c>
      <c r="K304" t="str">
        <f>_xlfn.XLOOKUP(B304,zones_lookup!A:A,zones_lookup!B:B,"Not found")</f>
        <v>Mr. Salami</v>
      </c>
      <c r="L304">
        <f>_xlfn.XLOOKUP(B304,zones_lookup!A:A,zones_lookup!C:C,"Not found")</f>
        <v>200000</v>
      </c>
    </row>
    <row r="305" spans="1:12" x14ac:dyDescent="0.3">
      <c r="A305" s="2">
        <v>45938</v>
      </c>
      <c r="B305" t="s">
        <v>89</v>
      </c>
      <c r="C305" t="s">
        <v>90</v>
      </c>
      <c r="D305">
        <v>2</v>
      </c>
      <c r="E305">
        <v>11.9</v>
      </c>
      <c r="F305">
        <v>78.3</v>
      </c>
      <c r="G305">
        <v>1</v>
      </c>
      <c r="H305">
        <v>10</v>
      </c>
      <c r="I305" t="s">
        <v>1669</v>
      </c>
      <c r="J305">
        <v>5.95</v>
      </c>
      <c r="K305" t="str">
        <f>_xlfn.XLOOKUP(B305,zones_lookup!A:A,zones_lookup!B:B,"Not found")</f>
        <v>Mr. Salami</v>
      </c>
      <c r="L305">
        <f>_xlfn.XLOOKUP(B305,zones_lookup!A:A,zones_lookup!C:C,"Not found")</f>
        <v>200000</v>
      </c>
    </row>
    <row r="306" spans="1:12" x14ac:dyDescent="0.3">
      <c r="A306" s="2">
        <v>45771</v>
      </c>
      <c r="B306" t="s">
        <v>89</v>
      </c>
      <c r="C306" t="s">
        <v>90</v>
      </c>
      <c r="D306">
        <v>6</v>
      </c>
      <c r="E306">
        <v>28.4</v>
      </c>
      <c r="F306">
        <v>254</v>
      </c>
      <c r="G306">
        <v>0</v>
      </c>
      <c r="H306">
        <v>4</v>
      </c>
      <c r="I306" t="s">
        <v>1668</v>
      </c>
      <c r="J306">
        <v>4.7333333333333334</v>
      </c>
      <c r="K306" t="str">
        <f>_xlfn.XLOOKUP(B306,zones_lookup!A:A,zones_lookup!B:B,"Not found")</f>
        <v>Mr. Salami</v>
      </c>
      <c r="L306">
        <f>_xlfn.XLOOKUP(B306,zones_lookup!A:A,zones_lookup!C:C,"Not found")</f>
        <v>200000</v>
      </c>
    </row>
    <row r="307" spans="1:12" x14ac:dyDescent="0.3">
      <c r="A307" s="2">
        <v>45818</v>
      </c>
      <c r="B307" t="s">
        <v>27</v>
      </c>
      <c r="C307" t="s">
        <v>34</v>
      </c>
      <c r="D307">
        <v>4</v>
      </c>
      <c r="E307">
        <v>24.6</v>
      </c>
      <c r="F307">
        <v>156</v>
      </c>
      <c r="G307">
        <v>2</v>
      </c>
      <c r="H307">
        <v>6</v>
      </c>
      <c r="I307" t="s">
        <v>1667</v>
      </c>
      <c r="J307">
        <v>6.15</v>
      </c>
      <c r="K307" t="str">
        <f>_xlfn.XLOOKUP(B307,zones_lookup!A:A,zones_lookup!B:B,"Not found")</f>
        <v>Mr. Bello</v>
      </c>
      <c r="L307">
        <f>_xlfn.XLOOKUP(B307,zones_lookup!A:A,zones_lookup!C:C,"Not found")</f>
        <v>1288000</v>
      </c>
    </row>
    <row r="308" spans="1:12" x14ac:dyDescent="0.3">
      <c r="A308" s="2">
        <v>45823</v>
      </c>
      <c r="B308" t="s">
        <v>60</v>
      </c>
      <c r="C308" t="s">
        <v>61</v>
      </c>
      <c r="D308">
        <v>5</v>
      </c>
      <c r="E308">
        <v>21</v>
      </c>
      <c r="F308">
        <v>138.9</v>
      </c>
      <c r="G308">
        <v>2</v>
      </c>
      <c r="H308">
        <v>6</v>
      </c>
      <c r="I308" t="s">
        <v>1667</v>
      </c>
      <c r="J308">
        <v>4.2</v>
      </c>
      <c r="K308" t="str">
        <f>_xlfn.XLOOKUP(B308,zones_lookup!A:A,zones_lookup!B:B,"Not found")</f>
        <v>Mrs. Eze</v>
      </c>
      <c r="L308">
        <f>_xlfn.XLOOKUP(B308,zones_lookup!A:A,zones_lookup!C:C,"Not found")</f>
        <v>535000</v>
      </c>
    </row>
    <row r="309" spans="1:12" x14ac:dyDescent="0.3">
      <c r="A309" s="2">
        <v>45957</v>
      </c>
      <c r="B309" t="s">
        <v>108</v>
      </c>
      <c r="C309" t="s">
        <v>109</v>
      </c>
      <c r="D309">
        <v>4</v>
      </c>
      <c r="E309">
        <v>28.2</v>
      </c>
      <c r="F309">
        <v>173.6</v>
      </c>
      <c r="G309">
        <v>2</v>
      </c>
      <c r="H309">
        <v>10</v>
      </c>
      <c r="I309" t="s">
        <v>1669</v>
      </c>
      <c r="J309">
        <v>7.05</v>
      </c>
      <c r="K309" t="str">
        <f>_xlfn.XLOOKUP(B309,zones_lookup!A:A,zones_lookup!B:B,"Not found")</f>
        <v>Mrs. Okafor</v>
      </c>
      <c r="L309">
        <f>_xlfn.XLOOKUP(B309,zones_lookup!A:A,zones_lookup!C:C,"Not found")</f>
        <v>503000</v>
      </c>
    </row>
    <row r="310" spans="1:12" x14ac:dyDescent="0.3">
      <c r="A310" s="2">
        <v>45731</v>
      </c>
      <c r="B310" t="s">
        <v>60</v>
      </c>
      <c r="C310" t="s">
        <v>64</v>
      </c>
      <c r="D310">
        <v>2</v>
      </c>
      <c r="E310">
        <v>8.1</v>
      </c>
      <c r="F310">
        <v>89.5</v>
      </c>
      <c r="G310">
        <v>3</v>
      </c>
      <c r="H310">
        <v>3</v>
      </c>
      <c r="I310" t="s">
        <v>1662</v>
      </c>
      <c r="J310">
        <v>4.05</v>
      </c>
      <c r="K310" t="str">
        <f>_xlfn.XLOOKUP(B310,zones_lookup!A:A,zones_lookup!B:B,"Not found")</f>
        <v>Mrs. Eze</v>
      </c>
      <c r="L310">
        <f>_xlfn.XLOOKUP(B310,zones_lookup!A:A,zones_lookup!C:C,"Not found")</f>
        <v>535000</v>
      </c>
    </row>
    <row r="311" spans="1:12" x14ac:dyDescent="0.3">
      <c r="A311" s="2">
        <v>45699</v>
      </c>
      <c r="B311" t="s">
        <v>89</v>
      </c>
      <c r="C311" t="s">
        <v>131</v>
      </c>
      <c r="D311">
        <v>3</v>
      </c>
      <c r="E311">
        <v>16.8</v>
      </c>
      <c r="F311">
        <v>102.7</v>
      </c>
      <c r="G311">
        <v>1</v>
      </c>
      <c r="H311">
        <v>2</v>
      </c>
      <c r="I311" t="s">
        <v>1665</v>
      </c>
      <c r="J311">
        <v>5.6000000000000005</v>
      </c>
      <c r="K311" t="str">
        <f>_xlfn.XLOOKUP(B311,zones_lookup!A:A,zones_lookup!B:B,"Not found")</f>
        <v>Mr. Salami</v>
      </c>
      <c r="L311">
        <f>_xlfn.XLOOKUP(B311,zones_lookup!A:A,zones_lookup!C:C,"Not found")</f>
        <v>200000</v>
      </c>
    </row>
    <row r="312" spans="1:12" x14ac:dyDescent="0.3">
      <c r="A312" s="2">
        <v>45860</v>
      </c>
      <c r="B312" t="s">
        <v>27</v>
      </c>
      <c r="C312" t="s">
        <v>34</v>
      </c>
      <c r="D312">
        <v>3</v>
      </c>
      <c r="E312">
        <v>26.7</v>
      </c>
      <c r="F312">
        <v>98.5</v>
      </c>
      <c r="G312">
        <v>0</v>
      </c>
      <c r="H312">
        <v>7</v>
      </c>
      <c r="I312" t="s">
        <v>1661</v>
      </c>
      <c r="J312">
        <v>8.9</v>
      </c>
      <c r="K312" t="str">
        <f>_xlfn.XLOOKUP(B312,zones_lookup!A:A,zones_lookup!B:B,"Not found")</f>
        <v>Mr. Bello</v>
      </c>
      <c r="L312">
        <f>_xlfn.XLOOKUP(B312,zones_lookup!A:A,zones_lookup!C:C,"Not found")</f>
        <v>1288000</v>
      </c>
    </row>
    <row r="313" spans="1:12" x14ac:dyDescent="0.3">
      <c r="A313" s="2">
        <v>45963</v>
      </c>
      <c r="B313" t="s">
        <v>89</v>
      </c>
      <c r="C313" t="s">
        <v>131</v>
      </c>
      <c r="D313">
        <v>5</v>
      </c>
      <c r="E313">
        <v>26</v>
      </c>
      <c r="F313">
        <v>157.5</v>
      </c>
      <c r="H313">
        <v>11</v>
      </c>
      <c r="I313" t="s">
        <v>1664</v>
      </c>
      <c r="J313">
        <v>5.2</v>
      </c>
      <c r="K313" t="str">
        <f>_xlfn.XLOOKUP(B313,zones_lookup!A:A,zones_lookup!B:B,"Not found")</f>
        <v>Mr. Salami</v>
      </c>
      <c r="L313">
        <f>_xlfn.XLOOKUP(B313,zones_lookup!A:A,zones_lookup!C:C,"Not found")</f>
        <v>200000</v>
      </c>
    </row>
    <row r="314" spans="1:12" x14ac:dyDescent="0.3">
      <c r="A314" s="2">
        <v>45875</v>
      </c>
      <c r="B314" t="s">
        <v>89</v>
      </c>
      <c r="C314" t="s">
        <v>131</v>
      </c>
      <c r="D314">
        <v>3</v>
      </c>
      <c r="E314">
        <v>14</v>
      </c>
      <c r="F314">
        <v>121.3</v>
      </c>
      <c r="G314">
        <v>2</v>
      </c>
      <c r="H314">
        <v>8</v>
      </c>
      <c r="I314" t="s">
        <v>1666</v>
      </c>
      <c r="J314">
        <v>4.666666666666667</v>
      </c>
      <c r="K314" t="str">
        <f>_xlfn.XLOOKUP(B314,zones_lookup!A:A,zones_lookup!B:B,"Not found")</f>
        <v>Mr. Salami</v>
      </c>
      <c r="L314">
        <f>_xlfn.XLOOKUP(B314,zones_lookup!A:A,zones_lookup!C:C,"Not found")</f>
        <v>200000</v>
      </c>
    </row>
    <row r="315" spans="1:12" x14ac:dyDescent="0.3">
      <c r="A315" s="2">
        <v>45768</v>
      </c>
      <c r="B315" t="s">
        <v>108</v>
      </c>
      <c r="C315" t="s">
        <v>208</v>
      </c>
      <c r="D315">
        <v>3</v>
      </c>
      <c r="E315">
        <v>19.7</v>
      </c>
      <c r="F315">
        <v>115.5</v>
      </c>
      <c r="G315">
        <v>0</v>
      </c>
      <c r="H315">
        <v>4</v>
      </c>
      <c r="I315" t="s">
        <v>1668</v>
      </c>
      <c r="J315">
        <v>6.5666666666666664</v>
      </c>
      <c r="K315" t="str">
        <f>_xlfn.XLOOKUP(B315,zones_lookup!A:A,zones_lookup!B:B,"Not found")</f>
        <v>Mrs. Okafor</v>
      </c>
      <c r="L315">
        <f>_xlfn.XLOOKUP(B315,zones_lookup!A:A,zones_lookup!C:C,"Not found")</f>
        <v>503000</v>
      </c>
    </row>
    <row r="316" spans="1:12" x14ac:dyDescent="0.3">
      <c r="A316" s="2">
        <v>45872</v>
      </c>
      <c r="B316" t="s">
        <v>108</v>
      </c>
      <c r="C316" t="s">
        <v>109</v>
      </c>
      <c r="D316">
        <v>5</v>
      </c>
      <c r="E316">
        <v>25.9</v>
      </c>
      <c r="F316">
        <v>180.3</v>
      </c>
      <c r="G316">
        <v>1</v>
      </c>
      <c r="H316">
        <v>8</v>
      </c>
      <c r="I316" t="s">
        <v>1666</v>
      </c>
      <c r="J316">
        <v>5.18</v>
      </c>
      <c r="K316" t="str">
        <f>_xlfn.XLOOKUP(B316,zones_lookup!A:A,zones_lookup!B:B,"Not found")</f>
        <v>Mrs. Okafor</v>
      </c>
      <c r="L316">
        <f>_xlfn.XLOOKUP(B316,zones_lookup!A:A,zones_lookup!C:C,"Not found")</f>
        <v>503000</v>
      </c>
    </row>
    <row r="317" spans="1:12" x14ac:dyDescent="0.3">
      <c r="A317" s="2">
        <v>46002</v>
      </c>
      <c r="B317" t="s">
        <v>76</v>
      </c>
      <c r="C317" t="s">
        <v>84</v>
      </c>
      <c r="D317">
        <v>5</v>
      </c>
      <c r="E317">
        <v>42.1</v>
      </c>
      <c r="F317">
        <v>216.8</v>
      </c>
      <c r="G317">
        <v>3</v>
      </c>
      <c r="H317">
        <v>12</v>
      </c>
      <c r="I317" t="s">
        <v>1671</v>
      </c>
      <c r="J317">
        <v>8.42</v>
      </c>
      <c r="K317" t="str">
        <f>_xlfn.XLOOKUP(B317,zones_lookup!A:A,zones_lookup!B:B,"Not found")</f>
        <v>Mr. Adeyemi</v>
      </c>
      <c r="L317">
        <f>_xlfn.XLOOKUP(B317,zones_lookup!A:A,zones_lookup!C:C,"Not found")</f>
        <v>313000</v>
      </c>
    </row>
    <row r="318" spans="1:12" x14ac:dyDescent="0.3">
      <c r="A318" s="2">
        <v>45956</v>
      </c>
      <c r="B318" t="s">
        <v>27</v>
      </c>
      <c r="C318" t="s">
        <v>34</v>
      </c>
      <c r="D318">
        <v>4</v>
      </c>
      <c r="E318">
        <v>27</v>
      </c>
      <c r="F318">
        <v>158.69999999999999</v>
      </c>
      <c r="G318">
        <v>4</v>
      </c>
      <c r="H318">
        <v>10</v>
      </c>
      <c r="I318" t="s">
        <v>1669</v>
      </c>
      <c r="J318">
        <v>6.75</v>
      </c>
      <c r="K318" t="str">
        <f>_xlfn.XLOOKUP(B318,zones_lookup!A:A,zones_lookup!B:B,"Not found")</f>
        <v>Mr. Bello</v>
      </c>
      <c r="L318">
        <f>_xlfn.XLOOKUP(B318,zones_lookup!A:A,zones_lookup!C:C,"Not found")</f>
        <v>1288000</v>
      </c>
    </row>
    <row r="319" spans="1:12" x14ac:dyDescent="0.3">
      <c r="A319" s="2">
        <v>45760</v>
      </c>
      <c r="B319" t="s">
        <v>49</v>
      </c>
      <c r="C319" t="s">
        <v>50</v>
      </c>
      <c r="D319">
        <v>4</v>
      </c>
      <c r="E319">
        <v>15.2</v>
      </c>
      <c r="F319">
        <v>166.3</v>
      </c>
      <c r="G319">
        <v>2</v>
      </c>
      <c r="H319">
        <v>4</v>
      </c>
      <c r="I319" t="s">
        <v>1668</v>
      </c>
      <c r="J319">
        <v>3.8</v>
      </c>
      <c r="K319" t="str">
        <f>_xlfn.XLOOKUP(B319,zones_lookup!A:A,zones_lookup!B:B,"Not found")</f>
        <v>Mrs. Johnson</v>
      </c>
      <c r="L319">
        <f>_xlfn.XLOOKUP(B319,zones_lookup!A:A,zones_lookup!C:C,"Not found")</f>
        <v>241000</v>
      </c>
    </row>
    <row r="320" spans="1:12" x14ac:dyDescent="0.3">
      <c r="A320" s="2">
        <v>45762</v>
      </c>
      <c r="B320" t="s">
        <v>89</v>
      </c>
      <c r="C320" t="s">
        <v>131</v>
      </c>
      <c r="D320">
        <v>4</v>
      </c>
      <c r="E320">
        <v>20.5</v>
      </c>
      <c r="F320">
        <v>167.9</v>
      </c>
      <c r="G320">
        <v>1</v>
      </c>
      <c r="H320">
        <v>4</v>
      </c>
      <c r="I320" t="s">
        <v>1668</v>
      </c>
      <c r="J320">
        <v>5.125</v>
      </c>
      <c r="K320" t="str">
        <f>_xlfn.XLOOKUP(B320,zones_lookup!A:A,zones_lookup!B:B,"Not found")</f>
        <v>Mr. Salami</v>
      </c>
      <c r="L320">
        <f>_xlfn.XLOOKUP(B320,zones_lookup!A:A,zones_lookup!C:C,"Not found")</f>
        <v>200000</v>
      </c>
    </row>
    <row r="321" spans="1:12" x14ac:dyDescent="0.3">
      <c r="A321" s="2">
        <v>45843</v>
      </c>
      <c r="B321" t="s">
        <v>93</v>
      </c>
      <c r="C321" t="s">
        <v>101</v>
      </c>
      <c r="D321">
        <v>2</v>
      </c>
      <c r="E321">
        <v>6.9</v>
      </c>
      <c r="F321">
        <v>75.2</v>
      </c>
      <c r="G321">
        <v>2</v>
      </c>
      <c r="H321">
        <v>7</v>
      </c>
      <c r="I321" t="s">
        <v>1661</v>
      </c>
      <c r="J321">
        <v>3.45</v>
      </c>
      <c r="K321" t="str">
        <f>_xlfn.XLOOKUP(B321,zones_lookup!A:A,zones_lookup!B:B,"Not found")</f>
        <v>Mr. Ogunleye</v>
      </c>
      <c r="L321">
        <f>_xlfn.XLOOKUP(B321,zones_lookup!A:A,zones_lookup!C:C,"Not found")</f>
        <v>181000</v>
      </c>
    </row>
    <row r="322" spans="1:12" x14ac:dyDescent="0.3">
      <c r="A322" s="2">
        <v>45707</v>
      </c>
      <c r="B322" t="s">
        <v>27</v>
      </c>
      <c r="C322" t="s">
        <v>28</v>
      </c>
      <c r="D322">
        <v>6</v>
      </c>
      <c r="E322">
        <v>40.799999999999997</v>
      </c>
      <c r="F322">
        <v>254</v>
      </c>
      <c r="G322">
        <v>2</v>
      </c>
      <c r="H322">
        <v>2</v>
      </c>
      <c r="I322" t="s">
        <v>1665</v>
      </c>
      <c r="J322">
        <v>6.8</v>
      </c>
      <c r="K322" t="str">
        <f>_xlfn.XLOOKUP(B322,zones_lookup!A:A,zones_lookup!B:B,"Not found")</f>
        <v>Mr. Bello</v>
      </c>
      <c r="L322">
        <f>_xlfn.XLOOKUP(B322,zones_lookup!A:A,zones_lookup!C:C,"Not found")</f>
        <v>1288000</v>
      </c>
    </row>
    <row r="323" spans="1:12" x14ac:dyDescent="0.3">
      <c r="A323" s="2">
        <v>45918</v>
      </c>
      <c r="B323" t="s">
        <v>49</v>
      </c>
      <c r="C323" t="s">
        <v>50</v>
      </c>
      <c r="D323">
        <v>4</v>
      </c>
      <c r="E323">
        <v>17.3</v>
      </c>
      <c r="F323">
        <v>124.6</v>
      </c>
      <c r="G323">
        <v>2</v>
      </c>
      <c r="H323">
        <v>9</v>
      </c>
      <c r="I323" t="s">
        <v>1670</v>
      </c>
      <c r="J323">
        <v>4.3250000000000002</v>
      </c>
      <c r="K323" t="str">
        <f>_xlfn.XLOOKUP(B323,zones_lookup!A:A,zones_lookup!B:B,"Not found")</f>
        <v>Mrs. Johnson</v>
      </c>
      <c r="L323">
        <f>_xlfn.XLOOKUP(B323,zones_lookup!A:A,zones_lookup!C:C,"Not found")</f>
        <v>241000</v>
      </c>
    </row>
    <row r="324" spans="1:12" x14ac:dyDescent="0.3">
      <c r="A324" s="2">
        <v>45993</v>
      </c>
      <c r="B324" t="s">
        <v>93</v>
      </c>
      <c r="C324" t="s">
        <v>57</v>
      </c>
      <c r="D324">
        <v>5</v>
      </c>
      <c r="E324">
        <v>20.3</v>
      </c>
      <c r="F324">
        <v>210.9</v>
      </c>
      <c r="G324">
        <v>5</v>
      </c>
      <c r="H324">
        <v>12</v>
      </c>
      <c r="I324" t="s">
        <v>1671</v>
      </c>
      <c r="J324">
        <v>4.0600000000000005</v>
      </c>
      <c r="K324" t="str">
        <f>_xlfn.XLOOKUP(B324,zones_lookup!A:A,zones_lookup!B:B,"Not found")</f>
        <v>Mr. Ogunleye</v>
      </c>
      <c r="L324">
        <f>_xlfn.XLOOKUP(B324,zones_lookup!A:A,zones_lookup!C:C,"Not found")</f>
        <v>181000</v>
      </c>
    </row>
    <row r="325" spans="1:12" x14ac:dyDescent="0.3">
      <c r="A325" s="2">
        <v>46015</v>
      </c>
      <c r="B325" t="s">
        <v>41</v>
      </c>
      <c r="C325" t="s">
        <v>46</v>
      </c>
      <c r="D325">
        <v>3</v>
      </c>
      <c r="E325">
        <v>23.3</v>
      </c>
      <c r="F325">
        <v>115.5</v>
      </c>
      <c r="G325">
        <v>0</v>
      </c>
      <c r="H325">
        <v>12</v>
      </c>
      <c r="I325" t="s">
        <v>1671</v>
      </c>
      <c r="J325">
        <v>7.7666666666666666</v>
      </c>
      <c r="K325" t="str">
        <f>_xlfn.XLOOKUP(B325,zones_lookup!A:A,zones_lookup!B:B,"Not found")</f>
        <v>Mrs. Adisa</v>
      </c>
      <c r="L325">
        <f>_xlfn.XLOOKUP(B325,zones_lookup!A:A,zones_lookup!C:C,"Not found")</f>
        <v>633000</v>
      </c>
    </row>
    <row r="326" spans="1:12" x14ac:dyDescent="0.3">
      <c r="A326" s="2">
        <v>45662</v>
      </c>
      <c r="B326" t="s">
        <v>108</v>
      </c>
      <c r="C326" t="s">
        <v>169</v>
      </c>
      <c r="D326">
        <v>3</v>
      </c>
      <c r="E326">
        <v>24.5</v>
      </c>
      <c r="F326">
        <v>97.8</v>
      </c>
      <c r="G326">
        <v>0</v>
      </c>
      <c r="H326">
        <v>1</v>
      </c>
      <c r="I326" t="s">
        <v>1660</v>
      </c>
      <c r="J326">
        <v>8.1666666666666661</v>
      </c>
      <c r="K326" t="str">
        <f>_xlfn.XLOOKUP(B326,zones_lookup!A:A,zones_lookup!B:B,"Not found")</f>
        <v>Mrs. Okafor</v>
      </c>
      <c r="L326">
        <f>_xlfn.XLOOKUP(B326,zones_lookup!A:A,zones_lookup!C:C,"Not found")</f>
        <v>503000</v>
      </c>
    </row>
    <row r="327" spans="1:12" x14ac:dyDescent="0.3">
      <c r="A327" s="2">
        <v>46021</v>
      </c>
      <c r="B327" t="s">
        <v>60</v>
      </c>
      <c r="C327" t="s">
        <v>69</v>
      </c>
      <c r="D327">
        <v>6</v>
      </c>
      <c r="E327">
        <v>24.4</v>
      </c>
      <c r="F327">
        <v>182.6</v>
      </c>
      <c r="G327">
        <v>5</v>
      </c>
      <c r="H327">
        <v>12</v>
      </c>
      <c r="I327" t="s">
        <v>1671</v>
      </c>
      <c r="J327">
        <v>4.0666666666666664</v>
      </c>
      <c r="K327" t="str">
        <f>_xlfn.XLOOKUP(B327,zones_lookup!A:A,zones_lookup!B:B,"Not found")</f>
        <v>Mrs. Eze</v>
      </c>
      <c r="L327">
        <f>_xlfn.XLOOKUP(B327,zones_lookup!A:A,zones_lookup!C:C,"Not found")</f>
        <v>535000</v>
      </c>
    </row>
    <row r="328" spans="1:12" x14ac:dyDescent="0.3">
      <c r="A328" s="2">
        <v>45793</v>
      </c>
      <c r="B328" t="s">
        <v>49</v>
      </c>
      <c r="C328" t="s">
        <v>50</v>
      </c>
      <c r="D328">
        <v>6</v>
      </c>
      <c r="E328">
        <v>23</v>
      </c>
      <c r="F328">
        <v>208.9</v>
      </c>
      <c r="G328">
        <v>3</v>
      </c>
      <c r="H328">
        <v>5</v>
      </c>
      <c r="I328" t="s">
        <v>1663</v>
      </c>
      <c r="J328">
        <v>3.8333333333333335</v>
      </c>
      <c r="K328" t="str">
        <f>_xlfn.XLOOKUP(B328,zones_lookup!A:A,zones_lookup!B:B,"Not found")</f>
        <v>Mrs. Johnson</v>
      </c>
      <c r="L328">
        <f>_xlfn.XLOOKUP(B328,zones_lookup!A:A,zones_lookup!C:C,"Not found")</f>
        <v>241000</v>
      </c>
    </row>
    <row r="329" spans="1:12" x14ac:dyDescent="0.3">
      <c r="A329" s="2">
        <v>45912</v>
      </c>
      <c r="B329" t="s">
        <v>93</v>
      </c>
      <c r="C329" t="s">
        <v>101</v>
      </c>
      <c r="D329">
        <v>6</v>
      </c>
      <c r="E329">
        <v>18.399999999999999</v>
      </c>
      <c r="F329">
        <v>183.4</v>
      </c>
      <c r="G329">
        <v>1</v>
      </c>
      <c r="H329">
        <v>9</v>
      </c>
      <c r="I329" t="s">
        <v>1670</v>
      </c>
      <c r="J329">
        <v>3.0666666666666664</v>
      </c>
      <c r="K329" t="str">
        <f>_xlfn.XLOOKUP(B329,zones_lookup!A:A,zones_lookup!B:B,"Not found")</f>
        <v>Mr. Ogunleye</v>
      </c>
      <c r="L329">
        <f>_xlfn.XLOOKUP(B329,zones_lookup!A:A,zones_lookup!C:C,"Not found")</f>
        <v>181000</v>
      </c>
    </row>
    <row r="330" spans="1:12" x14ac:dyDescent="0.3">
      <c r="A330" s="2">
        <v>45919</v>
      </c>
      <c r="B330" t="s">
        <v>60</v>
      </c>
      <c r="C330" t="s">
        <v>64</v>
      </c>
      <c r="D330">
        <v>4</v>
      </c>
      <c r="E330">
        <v>16.5</v>
      </c>
      <c r="F330">
        <v>186.4</v>
      </c>
      <c r="G330">
        <v>2</v>
      </c>
      <c r="H330">
        <v>9</v>
      </c>
      <c r="I330" t="s">
        <v>1670</v>
      </c>
      <c r="J330">
        <v>4.125</v>
      </c>
      <c r="K330" t="str">
        <f>_xlfn.XLOOKUP(B330,zones_lookup!A:A,zones_lookup!B:B,"Not found")</f>
        <v>Mrs. Eze</v>
      </c>
      <c r="L330">
        <f>_xlfn.XLOOKUP(B330,zones_lookup!A:A,zones_lookup!C:C,"Not found")</f>
        <v>535000</v>
      </c>
    </row>
    <row r="331" spans="1:12" x14ac:dyDescent="0.3">
      <c r="A331" s="2">
        <v>45807</v>
      </c>
      <c r="B331" t="s">
        <v>41</v>
      </c>
      <c r="C331" t="s">
        <v>73</v>
      </c>
      <c r="D331">
        <v>4</v>
      </c>
      <c r="E331">
        <v>28</v>
      </c>
      <c r="F331">
        <v>143.80000000000001</v>
      </c>
      <c r="G331">
        <v>2</v>
      </c>
      <c r="H331">
        <v>5</v>
      </c>
      <c r="I331" t="s">
        <v>1663</v>
      </c>
      <c r="J331">
        <v>7</v>
      </c>
      <c r="K331" t="str">
        <f>_xlfn.XLOOKUP(B331,zones_lookup!A:A,zones_lookup!B:B,"Not found")</f>
        <v>Mrs. Adisa</v>
      </c>
      <c r="L331">
        <f>_xlfn.XLOOKUP(B331,zones_lookup!A:A,zones_lookup!C:C,"Not found")</f>
        <v>633000</v>
      </c>
    </row>
    <row r="332" spans="1:12" x14ac:dyDescent="0.3">
      <c r="A332" s="2">
        <v>45780</v>
      </c>
      <c r="B332" t="s">
        <v>108</v>
      </c>
      <c r="C332" t="s">
        <v>169</v>
      </c>
      <c r="D332">
        <v>3</v>
      </c>
      <c r="E332">
        <v>19.2</v>
      </c>
      <c r="F332">
        <v>103.1</v>
      </c>
      <c r="G332">
        <v>0</v>
      </c>
      <c r="H332">
        <v>5</v>
      </c>
      <c r="I332" t="s">
        <v>1663</v>
      </c>
      <c r="J332">
        <v>6.3999999999999995</v>
      </c>
      <c r="K332" t="str">
        <f>_xlfn.XLOOKUP(B332,zones_lookup!A:A,zones_lookup!B:B,"Not found")</f>
        <v>Mrs. Okafor</v>
      </c>
      <c r="L332">
        <f>_xlfn.XLOOKUP(B332,zones_lookup!A:A,zones_lookup!C:C,"Not found")</f>
        <v>503000</v>
      </c>
    </row>
    <row r="333" spans="1:12" x14ac:dyDescent="0.3">
      <c r="A333" s="2">
        <v>45737</v>
      </c>
      <c r="B333" t="s">
        <v>93</v>
      </c>
      <c r="C333" t="s">
        <v>101</v>
      </c>
      <c r="D333">
        <v>6</v>
      </c>
      <c r="E333">
        <v>18.7</v>
      </c>
      <c r="G333">
        <v>2</v>
      </c>
      <c r="H333">
        <v>3</v>
      </c>
      <c r="I333" t="s">
        <v>1662</v>
      </c>
      <c r="J333">
        <v>3.1166666666666667</v>
      </c>
      <c r="K333" t="str">
        <f>_xlfn.XLOOKUP(B333,zones_lookup!A:A,zones_lookup!B:B,"Not found")</f>
        <v>Mr. Ogunleye</v>
      </c>
      <c r="L333">
        <f>_xlfn.XLOOKUP(B333,zones_lookup!A:A,zones_lookup!C:C,"Not found")</f>
        <v>181000</v>
      </c>
    </row>
    <row r="334" spans="1:12" x14ac:dyDescent="0.3">
      <c r="A334" s="2">
        <v>45974</v>
      </c>
      <c r="B334" t="s">
        <v>108</v>
      </c>
      <c r="C334" t="s">
        <v>169</v>
      </c>
      <c r="D334">
        <v>5</v>
      </c>
      <c r="E334">
        <v>33.299999999999997</v>
      </c>
      <c r="F334">
        <v>191.1</v>
      </c>
      <c r="G334">
        <v>1</v>
      </c>
      <c r="H334">
        <v>11</v>
      </c>
      <c r="I334" t="s">
        <v>1664</v>
      </c>
      <c r="J334">
        <v>6.6599999999999993</v>
      </c>
      <c r="K334" t="str">
        <f>_xlfn.XLOOKUP(B334,zones_lookup!A:A,zones_lookup!B:B,"Not found")</f>
        <v>Mrs. Okafor</v>
      </c>
      <c r="L334">
        <f>_xlfn.XLOOKUP(B334,zones_lookup!A:A,zones_lookup!C:C,"Not found")</f>
        <v>503000</v>
      </c>
    </row>
    <row r="335" spans="1:12" x14ac:dyDescent="0.3">
      <c r="A335" s="2">
        <v>45668</v>
      </c>
      <c r="B335" t="s">
        <v>27</v>
      </c>
      <c r="C335" t="s">
        <v>31</v>
      </c>
      <c r="D335">
        <v>6</v>
      </c>
      <c r="E335">
        <v>45.6</v>
      </c>
      <c r="F335">
        <v>245.1</v>
      </c>
      <c r="G335">
        <v>1</v>
      </c>
      <c r="H335">
        <v>1</v>
      </c>
      <c r="I335" t="s">
        <v>1660</v>
      </c>
      <c r="J335">
        <v>7.6000000000000005</v>
      </c>
      <c r="K335" t="str">
        <f>_xlfn.XLOOKUP(B335,zones_lookup!A:A,zones_lookup!B:B,"Not found")</f>
        <v>Mr. Bello</v>
      </c>
      <c r="L335">
        <f>_xlfn.XLOOKUP(B335,zones_lookup!A:A,zones_lookup!C:C,"Not found")</f>
        <v>1288000</v>
      </c>
    </row>
    <row r="336" spans="1:12" x14ac:dyDescent="0.3">
      <c r="A336" s="2">
        <v>45875</v>
      </c>
      <c r="B336" t="s">
        <v>108</v>
      </c>
      <c r="C336" t="s">
        <v>208</v>
      </c>
      <c r="D336">
        <v>5</v>
      </c>
      <c r="E336">
        <v>27.1</v>
      </c>
      <c r="F336">
        <v>209</v>
      </c>
      <c r="G336">
        <v>3</v>
      </c>
      <c r="H336">
        <v>8</v>
      </c>
      <c r="I336" t="s">
        <v>1666</v>
      </c>
      <c r="J336">
        <v>5.42</v>
      </c>
      <c r="K336" t="str">
        <f>_xlfn.XLOOKUP(B336,zones_lookup!A:A,zones_lookup!B:B,"Not found")</f>
        <v>Mrs. Okafor</v>
      </c>
      <c r="L336">
        <f>_xlfn.XLOOKUP(B336,zones_lookup!A:A,zones_lookup!C:C,"Not found")</f>
        <v>503000</v>
      </c>
    </row>
    <row r="337" spans="1:12" x14ac:dyDescent="0.3">
      <c r="A337" s="2">
        <v>45805</v>
      </c>
      <c r="B337" t="s">
        <v>60</v>
      </c>
      <c r="C337" t="s">
        <v>61</v>
      </c>
      <c r="D337">
        <v>6</v>
      </c>
      <c r="E337">
        <v>26.9</v>
      </c>
      <c r="G337">
        <v>5</v>
      </c>
      <c r="H337">
        <v>5</v>
      </c>
      <c r="I337" t="s">
        <v>1663</v>
      </c>
      <c r="J337">
        <v>4.4833333333333334</v>
      </c>
      <c r="K337" t="str">
        <f>_xlfn.XLOOKUP(B337,zones_lookup!A:A,zones_lookup!B:B,"Not found")</f>
        <v>Mrs. Eze</v>
      </c>
      <c r="L337">
        <f>_xlfn.XLOOKUP(B337,zones_lookup!A:A,zones_lookup!C:C,"Not found")</f>
        <v>535000</v>
      </c>
    </row>
    <row r="338" spans="1:12" x14ac:dyDescent="0.3">
      <c r="A338" s="2">
        <v>45913</v>
      </c>
      <c r="B338" t="s">
        <v>60</v>
      </c>
      <c r="C338" t="s">
        <v>69</v>
      </c>
      <c r="D338">
        <v>5</v>
      </c>
      <c r="E338">
        <v>22.4</v>
      </c>
      <c r="F338">
        <v>191.9</v>
      </c>
      <c r="G338">
        <v>3</v>
      </c>
      <c r="H338">
        <v>9</v>
      </c>
      <c r="I338" t="s">
        <v>1670</v>
      </c>
      <c r="J338">
        <v>4.4799999999999995</v>
      </c>
      <c r="K338" t="str">
        <f>_xlfn.XLOOKUP(B338,zones_lookup!A:A,zones_lookup!B:B,"Not found")</f>
        <v>Mrs. Eze</v>
      </c>
      <c r="L338">
        <f>_xlfn.XLOOKUP(B338,zones_lookup!A:A,zones_lookup!C:C,"Not found")</f>
        <v>535000</v>
      </c>
    </row>
    <row r="339" spans="1:12" x14ac:dyDescent="0.3">
      <c r="A339" s="2">
        <v>45979</v>
      </c>
      <c r="B339" t="s">
        <v>41</v>
      </c>
      <c r="C339" t="s">
        <v>46</v>
      </c>
      <c r="D339">
        <v>4</v>
      </c>
      <c r="E339">
        <v>23.5</v>
      </c>
      <c r="F339">
        <v>158.80000000000001</v>
      </c>
      <c r="G339">
        <v>2</v>
      </c>
      <c r="H339">
        <v>11</v>
      </c>
      <c r="I339" t="s">
        <v>1664</v>
      </c>
      <c r="J339">
        <v>5.875</v>
      </c>
      <c r="K339" t="str">
        <f>_xlfn.XLOOKUP(B339,zones_lookup!A:A,zones_lookup!B:B,"Not found")</f>
        <v>Mrs. Adisa</v>
      </c>
      <c r="L339">
        <f>_xlfn.XLOOKUP(B339,zones_lookup!A:A,zones_lookup!C:C,"Not found")</f>
        <v>633000</v>
      </c>
    </row>
    <row r="340" spans="1:12" x14ac:dyDescent="0.3">
      <c r="A340" s="2">
        <v>45703</v>
      </c>
      <c r="B340" t="s">
        <v>76</v>
      </c>
      <c r="C340" t="s">
        <v>80</v>
      </c>
      <c r="D340">
        <v>5</v>
      </c>
      <c r="E340">
        <v>27.7</v>
      </c>
      <c r="F340">
        <v>163.80000000000001</v>
      </c>
      <c r="G340">
        <v>4</v>
      </c>
      <c r="H340">
        <v>2</v>
      </c>
      <c r="I340" t="s">
        <v>1665</v>
      </c>
      <c r="J340">
        <v>5.54</v>
      </c>
      <c r="K340" t="str">
        <f>_xlfn.XLOOKUP(B340,zones_lookup!A:A,zones_lookup!B:B,"Not found")</f>
        <v>Mr. Adeyemi</v>
      </c>
      <c r="L340">
        <f>_xlfn.XLOOKUP(B340,zones_lookup!A:A,zones_lookup!C:C,"Not found")</f>
        <v>313000</v>
      </c>
    </row>
    <row r="341" spans="1:12" x14ac:dyDescent="0.3">
      <c r="A341" s="2">
        <v>45898</v>
      </c>
      <c r="B341" t="s">
        <v>76</v>
      </c>
      <c r="C341" t="s">
        <v>84</v>
      </c>
      <c r="D341">
        <v>4</v>
      </c>
      <c r="E341">
        <v>33</v>
      </c>
      <c r="F341">
        <v>149.6</v>
      </c>
      <c r="G341">
        <v>2</v>
      </c>
      <c r="H341">
        <v>8</v>
      </c>
      <c r="I341" t="s">
        <v>1666</v>
      </c>
      <c r="J341">
        <v>8.25</v>
      </c>
      <c r="K341" t="str">
        <f>_xlfn.XLOOKUP(B341,zones_lookup!A:A,zones_lookup!B:B,"Not found")</f>
        <v>Mr. Adeyemi</v>
      </c>
      <c r="L341">
        <f>_xlfn.XLOOKUP(B341,zones_lookup!A:A,zones_lookup!C:C,"Not found")</f>
        <v>313000</v>
      </c>
    </row>
    <row r="342" spans="1:12" x14ac:dyDescent="0.3">
      <c r="A342" s="2">
        <v>45850</v>
      </c>
      <c r="B342" t="s">
        <v>27</v>
      </c>
      <c r="C342" t="s">
        <v>38</v>
      </c>
      <c r="D342">
        <v>5</v>
      </c>
      <c r="E342">
        <v>35.200000000000003</v>
      </c>
      <c r="F342">
        <v>200.5</v>
      </c>
      <c r="G342">
        <v>2</v>
      </c>
      <c r="H342">
        <v>7</v>
      </c>
      <c r="I342" t="s">
        <v>1661</v>
      </c>
      <c r="J342">
        <v>7.0400000000000009</v>
      </c>
      <c r="K342" t="str">
        <f>_xlfn.XLOOKUP(B342,zones_lookup!A:A,zones_lookup!B:B,"Not found")</f>
        <v>Mr. Bello</v>
      </c>
      <c r="L342">
        <f>_xlfn.XLOOKUP(B342,zones_lookup!A:A,zones_lookup!C:C,"Not found")</f>
        <v>1288000</v>
      </c>
    </row>
    <row r="343" spans="1:12" x14ac:dyDescent="0.3">
      <c r="A343" s="2">
        <v>46004</v>
      </c>
      <c r="B343" t="s">
        <v>93</v>
      </c>
      <c r="C343" t="s">
        <v>101</v>
      </c>
      <c r="D343">
        <v>6</v>
      </c>
      <c r="E343">
        <v>28.1</v>
      </c>
      <c r="F343">
        <v>224.3</v>
      </c>
      <c r="G343">
        <v>2</v>
      </c>
      <c r="H343">
        <v>12</v>
      </c>
      <c r="I343" t="s">
        <v>1671</v>
      </c>
      <c r="J343">
        <v>4.6833333333333336</v>
      </c>
      <c r="K343" t="str">
        <f>_xlfn.XLOOKUP(B343,zones_lookup!A:A,zones_lookup!B:B,"Not found")</f>
        <v>Mr. Ogunleye</v>
      </c>
      <c r="L343">
        <f>_xlfn.XLOOKUP(B343,zones_lookup!A:A,zones_lookup!C:C,"Not found")</f>
        <v>181000</v>
      </c>
    </row>
    <row r="344" spans="1:12" x14ac:dyDescent="0.3">
      <c r="A344" s="2">
        <v>45814</v>
      </c>
      <c r="B344" t="s">
        <v>27</v>
      </c>
      <c r="C344" t="s">
        <v>31</v>
      </c>
      <c r="D344">
        <v>4</v>
      </c>
      <c r="E344">
        <v>26.9</v>
      </c>
      <c r="F344">
        <v>172.2</v>
      </c>
      <c r="G344">
        <v>4</v>
      </c>
      <c r="H344">
        <v>6</v>
      </c>
      <c r="I344" t="s">
        <v>1667</v>
      </c>
      <c r="J344">
        <v>6.7249999999999996</v>
      </c>
      <c r="K344" t="str">
        <f>_xlfn.XLOOKUP(B344,zones_lookup!A:A,zones_lookup!B:B,"Not found")</f>
        <v>Mr. Bello</v>
      </c>
      <c r="L344">
        <f>_xlfn.XLOOKUP(B344,zones_lookup!A:A,zones_lookup!C:C,"Not found")</f>
        <v>1288000</v>
      </c>
    </row>
    <row r="345" spans="1:12" x14ac:dyDescent="0.3">
      <c r="A345" s="2">
        <v>45717</v>
      </c>
      <c r="B345" t="s">
        <v>108</v>
      </c>
      <c r="C345" t="s">
        <v>109</v>
      </c>
      <c r="D345">
        <v>5</v>
      </c>
      <c r="E345">
        <v>33.299999999999997</v>
      </c>
      <c r="F345">
        <v>197.5</v>
      </c>
      <c r="G345">
        <v>1</v>
      </c>
      <c r="H345">
        <v>3</v>
      </c>
      <c r="I345" t="s">
        <v>1662</v>
      </c>
      <c r="J345">
        <v>6.6599999999999993</v>
      </c>
      <c r="K345" t="str">
        <f>_xlfn.XLOOKUP(B345,zones_lookup!A:A,zones_lookup!B:B,"Not found")</f>
        <v>Mrs. Okafor</v>
      </c>
      <c r="L345">
        <f>_xlfn.XLOOKUP(B345,zones_lookup!A:A,zones_lookup!C:C,"Not found")</f>
        <v>503000</v>
      </c>
    </row>
    <row r="346" spans="1:12" x14ac:dyDescent="0.3">
      <c r="A346" s="2">
        <v>45758</v>
      </c>
      <c r="B346" t="s">
        <v>93</v>
      </c>
      <c r="C346" t="s">
        <v>101</v>
      </c>
      <c r="D346">
        <v>5</v>
      </c>
      <c r="E346">
        <v>16.5</v>
      </c>
      <c r="F346">
        <v>253</v>
      </c>
      <c r="G346">
        <v>6</v>
      </c>
      <c r="H346">
        <v>4</v>
      </c>
      <c r="I346" t="s">
        <v>1668</v>
      </c>
      <c r="J346">
        <v>3.3</v>
      </c>
      <c r="K346" t="str">
        <f>_xlfn.XLOOKUP(B346,zones_lookup!A:A,zones_lookup!B:B,"Not found")</f>
        <v>Mr. Ogunleye</v>
      </c>
      <c r="L346">
        <f>_xlfn.XLOOKUP(B346,zones_lookup!A:A,zones_lookup!C:C,"Not found")</f>
        <v>181000</v>
      </c>
    </row>
    <row r="347" spans="1:12" x14ac:dyDescent="0.3">
      <c r="A347" s="2">
        <v>45905</v>
      </c>
      <c r="B347" t="s">
        <v>89</v>
      </c>
      <c r="C347" t="s">
        <v>90</v>
      </c>
      <c r="D347">
        <v>2</v>
      </c>
      <c r="E347">
        <v>12.5</v>
      </c>
      <c r="F347">
        <v>68.599999999999994</v>
      </c>
      <c r="G347">
        <v>2</v>
      </c>
      <c r="H347">
        <v>9</v>
      </c>
      <c r="I347" t="s">
        <v>1670</v>
      </c>
      <c r="J347">
        <v>6.25</v>
      </c>
      <c r="K347" t="str">
        <f>_xlfn.XLOOKUP(B347,zones_lookup!A:A,zones_lookup!B:B,"Not found")</f>
        <v>Mr. Salami</v>
      </c>
      <c r="L347">
        <f>_xlfn.XLOOKUP(B347,zones_lookup!A:A,zones_lookup!C:C,"Not found")</f>
        <v>200000</v>
      </c>
    </row>
    <row r="348" spans="1:12" x14ac:dyDescent="0.3">
      <c r="A348" s="2">
        <v>45863</v>
      </c>
      <c r="B348" t="s">
        <v>108</v>
      </c>
      <c r="C348" t="s">
        <v>169</v>
      </c>
      <c r="D348">
        <v>2</v>
      </c>
      <c r="E348">
        <v>12.2</v>
      </c>
      <c r="F348">
        <v>80</v>
      </c>
      <c r="G348">
        <v>1</v>
      </c>
      <c r="H348">
        <v>7</v>
      </c>
      <c r="I348" t="s">
        <v>1661</v>
      </c>
      <c r="J348">
        <v>6.1</v>
      </c>
      <c r="K348" t="str">
        <f>_xlfn.XLOOKUP(B348,zones_lookup!A:A,zones_lookup!B:B,"Not found")</f>
        <v>Mrs. Okafor</v>
      </c>
      <c r="L348">
        <f>_xlfn.XLOOKUP(B348,zones_lookup!A:A,zones_lookup!C:C,"Not found")</f>
        <v>503000</v>
      </c>
    </row>
    <row r="349" spans="1:12" x14ac:dyDescent="0.3">
      <c r="A349" s="2">
        <v>45864</v>
      </c>
      <c r="B349" t="s">
        <v>27</v>
      </c>
      <c r="C349" t="s">
        <v>38</v>
      </c>
      <c r="D349">
        <v>2</v>
      </c>
      <c r="E349">
        <v>11.7</v>
      </c>
      <c r="F349">
        <v>66.2</v>
      </c>
      <c r="G349">
        <v>0</v>
      </c>
      <c r="H349">
        <v>7</v>
      </c>
      <c r="I349" t="s">
        <v>1661</v>
      </c>
      <c r="J349">
        <v>5.85</v>
      </c>
      <c r="K349" t="str">
        <f>_xlfn.XLOOKUP(B349,zones_lookup!A:A,zones_lookup!B:B,"Not found")</f>
        <v>Mr. Bello</v>
      </c>
      <c r="L349">
        <f>_xlfn.XLOOKUP(B349,zones_lookup!A:A,zones_lookup!C:C,"Not found")</f>
        <v>1288000</v>
      </c>
    </row>
    <row r="350" spans="1:12" x14ac:dyDescent="0.3">
      <c r="A350" s="2">
        <v>45773</v>
      </c>
      <c r="B350" t="s">
        <v>108</v>
      </c>
      <c r="C350" t="s">
        <v>208</v>
      </c>
      <c r="D350">
        <v>4</v>
      </c>
      <c r="E350">
        <v>28.8</v>
      </c>
      <c r="F350">
        <v>95.8</v>
      </c>
      <c r="G350">
        <v>3</v>
      </c>
      <c r="H350">
        <v>4</v>
      </c>
      <c r="I350" t="s">
        <v>1668</v>
      </c>
      <c r="J350">
        <v>7.2</v>
      </c>
      <c r="K350" t="str">
        <f>_xlfn.XLOOKUP(B350,zones_lookup!A:A,zones_lookup!B:B,"Not found")</f>
        <v>Mrs. Okafor</v>
      </c>
      <c r="L350">
        <f>_xlfn.XLOOKUP(B350,zones_lookup!A:A,zones_lookup!C:C,"Not found")</f>
        <v>503000</v>
      </c>
    </row>
    <row r="351" spans="1:12" x14ac:dyDescent="0.3">
      <c r="A351" s="2">
        <v>45858</v>
      </c>
      <c r="B351" t="s">
        <v>27</v>
      </c>
      <c r="C351" t="s">
        <v>31</v>
      </c>
      <c r="D351">
        <v>3</v>
      </c>
      <c r="E351">
        <v>23.1</v>
      </c>
      <c r="F351">
        <v>90.9</v>
      </c>
      <c r="G351">
        <v>0</v>
      </c>
      <c r="H351">
        <v>7</v>
      </c>
      <c r="I351" t="s">
        <v>1661</v>
      </c>
      <c r="J351">
        <v>7.7</v>
      </c>
      <c r="K351" t="str">
        <f>_xlfn.XLOOKUP(B351,zones_lookup!A:A,zones_lookup!B:B,"Not found")</f>
        <v>Mr. Bello</v>
      </c>
      <c r="L351">
        <f>_xlfn.XLOOKUP(B351,zones_lookup!A:A,zones_lookup!C:C,"Not found")</f>
        <v>1288000</v>
      </c>
    </row>
    <row r="352" spans="1:12" x14ac:dyDescent="0.3">
      <c r="A352" s="2">
        <v>45781</v>
      </c>
      <c r="B352" t="s">
        <v>108</v>
      </c>
      <c r="C352" t="s">
        <v>208</v>
      </c>
      <c r="D352">
        <v>2</v>
      </c>
      <c r="E352">
        <v>12.4</v>
      </c>
      <c r="F352">
        <v>73.599999999999994</v>
      </c>
      <c r="G352">
        <v>1</v>
      </c>
      <c r="H352">
        <v>5</v>
      </c>
      <c r="I352" t="s">
        <v>1663</v>
      </c>
      <c r="J352">
        <v>6.2</v>
      </c>
      <c r="K352" t="str">
        <f>_xlfn.XLOOKUP(B352,zones_lookup!A:A,zones_lookup!B:B,"Not found")</f>
        <v>Mrs. Okafor</v>
      </c>
      <c r="L352">
        <f>_xlfn.XLOOKUP(B352,zones_lookup!A:A,zones_lookup!C:C,"Not found")</f>
        <v>503000</v>
      </c>
    </row>
    <row r="353" spans="1:12" x14ac:dyDescent="0.3">
      <c r="A353" s="2">
        <v>45948</v>
      </c>
      <c r="B353" t="s">
        <v>49</v>
      </c>
      <c r="C353" t="s">
        <v>52</v>
      </c>
      <c r="D353">
        <v>3</v>
      </c>
      <c r="E353">
        <v>12.5</v>
      </c>
      <c r="F353">
        <v>118.4</v>
      </c>
      <c r="G353">
        <v>4</v>
      </c>
      <c r="H353">
        <v>10</v>
      </c>
      <c r="I353" t="s">
        <v>1669</v>
      </c>
      <c r="J353">
        <v>4.166666666666667</v>
      </c>
      <c r="K353" t="str">
        <f>_xlfn.XLOOKUP(B353,zones_lookup!A:A,zones_lookup!B:B,"Not found")</f>
        <v>Mrs. Johnson</v>
      </c>
      <c r="L353">
        <f>_xlfn.XLOOKUP(B353,zones_lookup!A:A,zones_lookup!C:C,"Not found")</f>
        <v>241000</v>
      </c>
    </row>
    <row r="354" spans="1:12" x14ac:dyDescent="0.3">
      <c r="A354" s="2">
        <v>46007</v>
      </c>
      <c r="B354" t="s">
        <v>27</v>
      </c>
      <c r="C354" t="s">
        <v>38</v>
      </c>
      <c r="D354">
        <v>5</v>
      </c>
      <c r="E354">
        <v>45</v>
      </c>
      <c r="F354">
        <v>165.8</v>
      </c>
      <c r="G354">
        <v>0</v>
      </c>
      <c r="H354">
        <v>12</v>
      </c>
      <c r="I354" t="s">
        <v>1671</v>
      </c>
      <c r="J354">
        <v>9</v>
      </c>
      <c r="K354" t="str">
        <f>_xlfn.XLOOKUP(B354,zones_lookup!A:A,zones_lookup!B:B,"Not found")</f>
        <v>Mr. Bello</v>
      </c>
      <c r="L354">
        <f>_xlfn.XLOOKUP(B354,zones_lookup!A:A,zones_lookup!C:C,"Not found")</f>
        <v>1288000</v>
      </c>
    </row>
    <row r="355" spans="1:12" x14ac:dyDescent="0.3">
      <c r="A355" s="2">
        <v>46016</v>
      </c>
      <c r="B355" t="s">
        <v>89</v>
      </c>
      <c r="C355" t="s">
        <v>131</v>
      </c>
      <c r="D355">
        <v>2</v>
      </c>
      <c r="E355">
        <v>13.5</v>
      </c>
      <c r="F355">
        <v>70.099999999999994</v>
      </c>
      <c r="G355">
        <v>0</v>
      </c>
      <c r="H355">
        <v>12</v>
      </c>
      <c r="I355" t="s">
        <v>1671</v>
      </c>
      <c r="J355">
        <v>6.75</v>
      </c>
      <c r="K355" t="str">
        <f>_xlfn.XLOOKUP(B355,zones_lookup!A:A,zones_lookup!B:B,"Not found")</f>
        <v>Mr. Salami</v>
      </c>
      <c r="L355">
        <f>_xlfn.XLOOKUP(B355,zones_lookup!A:A,zones_lookup!C:C,"Not found")</f>
        <v>200000</v>
      </c>
    </row>
    <row r="356" spans="1:12" x14ac:dyDescent="0.3">
      <c r="A356" s="2">
        <v>45909</v>
      </c>
      <c r="B356" t="s">
        <v>41</v>
      </c>
      <c r="C356" t="s">
        <v>42</v>
      </c>
      <c r="D356">
        <v>2</v>
      </c>
      <c r="E356">
        <v>14.3</v>
      </c>
      <c r="F356">
        <v>79.2</v>
      </c>
      <c r="G356">
        <v>1</v>
      </c>
      <c r="H356">
        <v>9</v>
      </c>
      <c r="I356" t="s">
        <v>1670</v>
      </c>
      <c r="J356">
        <v>7.15</v>
      </c>
      <c r="K356" t="str">
        <f>_xlfn.XLOOKUP(B356,zones_lookup!A:A,zones_lookup!B:B,"Not found")</f>
        <v>Mrs. Adisa</v>
      </c>
      <c r="L356">
        <f>_xlfn.XLOOKUP(B356,zones_lookup!A:A,zones_lookup!C:C,"Not found")</f>
        <v>633000</v>
      </c>
    </row>
    <row r="357" spans="1:12" x14ac:dyDescent="0.3">
      <c r="A357" s="2">
        <v>45751</v>
      </c>
      <c r="B357" t="s">
        <v>27</v>
      </c>
      <c r="C357" t="s">
        <v>34</v>
      </c>
      <c r="D357">
        <v>5</v>
      </c>
      <c r="E357">
        <v>43.4</v>
      </c>
      <c r="F357">
        <v>227</v>
      </c>
      <c r="G357">
        <v>0</v>
      </c>
      <c r="H357">
        <v>4</v>
      </c>
      <c r="I357" t="s">
        <v>1668</v>
      </c>
      <c r="J357">
        <v>8.68</v>
      </c>
      <c r="K357" t="str">
        <f>_xlfn.XLOOKUP(B357,zones_lookup!A:A,zones_lookup!B:B,"Not found")</f>
        <v>Mr. Bello</v>
      </c>
      <c r="L357">
        <f>_xlfn.XLOOKUP(B357,zones_lookup!A:A,zones_lookup!C:C,"Not found")</f>
        <v>1288000</v>
      </c>
    </row>
    <row r="358" spans="1:12" x14ac:dyDescent="0.3">
      <c r="A358" s="2">
        <v>45860</v>
      </c>
      <c r="B358" t="s">
        <v>60</v>
      </c>
      <c r="C358" t="s">
        <v>61</v>
      </c>
      <c r="D358">
        <v>5</v>
      </c>
      <c r="E358">
        <v>21.4</v>
      </c>
      <c r="G358">
        <v>4</v>
      </c>
      <c r="H358">
        <v>7</v>
      </c>
      <c r="I358" t="s">
        <v>1661</v>
      </c>
      <c r="J358">
        <v>4.2799999999999994</v>
      </c>
      <c r="K358" t="str">
        <f>_xlfn.XLOOKUP(B358,zones_lookup!A:A,zones_lookup!B:B,"Not found")</f>
        <v>Mrs. Eze</v>
      </c>
      <c r="L358">
        <f>_xlfn.XLOOKUP(B358,zones_lookup!A:A,zones_lookup!C:C,"Not found")</f>
        <v>535000</v>
      </c>
    </row>
    <row r="359" spans="1:12" x14ac:dyDescent="0.3">
      <c r="A359" s="2">
        <v>45838</v>
      </c>
      <c r="B359" t="s">
        <v>76</v>
      </c>
      <c r="C359" t="s">
        <v>84</v>
      </c>
      <c r="D359">
        <v>5</v>
      </c>
      <c r="E359">
        <v>30.6</v>
      </c>
      <c r="F359">
        <v>173.7</v>
      </c>
      <c r="G359">
        <v>0</v>
      </c>
      <c r="H359">
        <v>6</v>
      </c>
      <c r="I359" t="s">
        <v>1667</v>
      </c>
      <c r="J359">
        <v>6.12</v>
      </c>
      <c r="K359" t="str">
        <f>_xlfn.XLOOKUP(B359,zones_lookup!A:A,zones_lookup!B:B,"Not found")</f>
        <v>Mr. Adeyemi</v>
      </c>
      <c r="L359">
        <f>_xlfn.XLOOKUP(B359,zones_lookup!A:A,zones_lookup!C:C,"Not found")</f>
        <v>313000</v>
      </c>
    </row>
    <row r="360" spans="1:12" x14ac:dyDescent="0.3">
      <c r="A360" s="2">
        <v>46003</v>
      </c>
      <c r="B360" t="s">
        <v>41</v>
      </c>
      <c r="C360" t="s">
        <v>73</v>
      </c>
      <c r="D360">
        <v>6</v>
      </c>
      <c r="E360">
        <v>55.4</v>
      </c>
      <c r="F360">
        <v>209.3</v>
      </c>
      <c r="G360">
        <v>0</v>
      </c>
      <c r="H360">
        <v>12</v>
      </c>
      <c r="I360" t="s">
        <v>1671</v>
      </c>
      <c r="J360">
        <v>9.2333333333333325</v>
      </c>
      <c r="K360" t="str">
        <f>_xlfn.XLOOKUP(B360,zones_lookup!A:A,zones_lookup!B:B,"Not found")</f>
        <v>Mrs. Adisa</v>
      </c>
      <c r="L360">
        <f>_xlfn.XLOOKUP(B360,zones_lookup!A:A,zones_lookup!C:C,"Not found")</f>
        <v>633000</v>
      </c>
    </row>
    <row r="361" spans="1:12" x14ac:dyDescent="0.3">
      <c r="A361" s="2">
        <v>45723</v>
      </c>
      <c r="B361" t="s">
        <v>89</v>
      </c>
      <c r="C361" t="s">
        <v>90</v>
      </c>
      <c r="D361">
        <v>4</v>
      </c>
      <c r="F361">
        <v>156.69999999999999</v>
      </c>
      <c r="G361">
        <v>0</v>
      </c>
      <c r="H361">
        <v>3</v>
      </c>
      <c r="I361" t="s">
        <v>1662</v>
      </c>
      <c r="K361" t="str">
        <f>_xlfn.XLOOKUP(B361,zones_lookup!A:A,zones_lookup!B:B,"Not found")</f>
        <v>Mr. Salami</v>
      </c>
      <c r="L361">
        <f>_xlfn.XLOOKUP(B361,zones_lookup!A:A,zones_lookup!C:C,"Not found")</f>
        <v>200000</v>
      </c>
    </row>
    <row r="362" spans="1:12" x14ac:dyDescent="0.3">
      <c r="A362" s="2">
        <v>45863</v>
      </c>
      <c r="B362" t="s">
        <v>93</v>
      </c>
      <c r="C362" t="s">
        <v>101</v>
      </c>
      <c r="D362">
        <v>5</v>
      </c>
      <c r="E362">
        <v>17.2</v>
      </c>
      <c r="F362">
        <v>169.1</v>
      </c>
      <c r="G362">
        <v>3</v>
      </c>
      <c r="H362">
        <v>7</v>
      </c>
      <c r="I362" t="s">
        <v>1661</v>
      </c>
      <c r="J362">
        <v>3.44</v>
      </c>
      <c r="K362" t="str">
        <f>_xlfn.XLOOKUP(B362,zones_lookup!A:A,zones_lookup!B:B,"Not found")</f>
        <v>Mr. Ogunleye</v>
      </c>
      <c r="L362">
        <f>_xlfn.XLOOKUP(B362,zones_lookup!A:A,zones_lookup!C:C,"Not found")</f>
        <v>181000</v>
      </c>
    </row>
    <row r="363" spans="1:12" x14ac:dyDescent="0.3">
      <c r="A363" s="2">
        <v>45858</v>
      </c>
      <c r="B363" t="s">
        <v>49</v>
      </c>
      <c r="C363" t="s">
        <v>50</v>
      </c>
      <c r="D363">
        <v>6</v>
      </c>
      <c r="E363">
        <v>21.5</v>
      </c>
      <c r="F363">
        <v>267.7</v>
      </c>
      <c r="G363">
        <v>3</v>
      </c>
      <c r="H363">
        <v>7</v>
      </c>
      <c r="I363" t="s">
        <v>1661</v>
      </c>
      <c r="J363">
        <v>3.5833333333333335</v>
      </c>
      <c r="K363" t="str">
        <f>_xlfn.XLOOKUP(B363,zones_lookup!A:A,zones_lookup!B:B,"Not found")</f>
        <v>Mrs. Johnson</v>
      </c>
      <c r="L363">
        <f>_xlfn.XLOOKUP(B363,zones_lookup!A:A,zones_lookup!C:C,"Not found")</f>
        <v>241000</v>
      </c>
    </row>
    <row r="364" spans="1:12" x14ac:dyDescent="0.3">
      <c r="A364" s="2">
        <v>45830</v>
      </c>
      <c r="B364" t="s">
        <v>76</v>
      </c>
      <c r="C364" t="s">
        <v>77</v>
      </c>
      <c r="D364">
        <v>5</v>
      </c>
      <c r="E364">
        <v>38.200000000000003</v>
      </c>
      <c r="F364">
        <v>172.9</v>
      </c>
      <c r="G364">
        <v>2</v>
      </c>
      <c r="H364">
        <v>6</v>
      </c>
      <c r="I364" t="s">
        <v>1667</v>
      </c>
      <c r="J364">
        <v>7.6400000000000006</v>
      </c>
      <c r="K364" t="str">
        <f>_xlfn.XLOOKUP(B364,zones_lookup!A:A,zones_lookup!B:B,"Not found")</f>
        <v>Mr. Adeyemi</v>
      </c>
      <c r="L364">
        <f>_xlfn.XLOOKUP(B364,zones_lookup!A:A,zones_lookup!C:C,"Not found")</f>
        <v>313000</v>
      </c>
    </row>
    <row r="365" spans="1:12" x14ac:dyDescent="0.3">
      <c r="A365" s="2">
        <v>45720</v>
      </c>
      <c r="B365" t="s">
        <v>27</v>
      </c>
      <c r="C365" t="s">
        <v>34</v>
      </c>
      <c r="D365">
        <v>4</v>
      </c>
      <c r="E365">
        <v>37.1</v>
      </c>
      <c r="F365">
        <v>130.9</v>
      </c>
      <c r="G365">
        <v>0</v>
      </c>
      <c r="H365">
        <v>3</v>
      </c>
      <c r="I365" t="s">
        <v>1662</v>
      </c>
      <c r="J365">
        <v>9.2750000000000004</v>
      </c>
      <c r="K365" t="str">
        <f>_xlfn.XLOOKUP(B365,zones_lookup!A:A,zones_lookup!B:B,"Not found")</f>
        <v>Mr. Bello</v>
      </c>
      <c r="L365">
        <f>_xlfn.XLOOKUP(B365,zones_lookup!A:A,zones_lookup!C:C,"Not found")</f>
        <v>1288000</v>
      </c>
    </row>
    <row r="366" spans="1:12" x14ac:dyDescent="0.3">
      <c r="A366" s="2">
        <v>45731</v>
      </c>
      <c r="B366" t="s">
        <v>60</v>
      </c>
      <c r="C366" t="s">
        <v>64</v>
      </c>
      <c r="D366">
        <v>6</v>
      </c>
      <c r="E366">
        <v>23.4</v>
      </c>
      <c r="F366">
        <v>210.5</v>
      </c>
      <c r="G366">
        <v>1</v>
      </c>
      <c r="H366">
        <v>3</v>
      </c>
      <c r="I366" t="s">
        <v>1662</v>
      </c>
      <c r="J366">
        <v>3.9</v>
      </c>
      <c r="K366" t="str">
        <f>_xlfn.XLOOKUP(B366,zones_lookup!A:A,zones_lookup!B:B,"Not found")</f>
        <v>Mrs. Eze</v>
      </c>
      <c r="L366">
        <f>_xlfn.XLOOKUP(B366,zones_lookup!A:A,zones_lookup!C:C,"Not found")</f>
        <v>535000</v>
      </c>
    </row>
    <row r="367" spans="1:12" x14ac:dyDescent="0.3">
      <c r="A367" s="2">
        <v>45877</v>
      </c>
      <c r="B367" t="s">
        <v>60</v>
      </c>
      <c r="C367" t="s">
        <v>64</v>
      </c>
      <c r="D367">
        <v>4</v>
      </c>
      <c r="E367">
        <v>16.3</v>
      </c>
      <c r="F367">
        <v>117.8</v>
      </c>
      <c r="G367">
        <v>4</v>
      </c>
      <c r="H367">
        <v>8</v>
      </c>
      <c r="I367" t="s">
        <v>1666</v>
      </c>
      <c r="J367">
        <v>4.0750000000000002</v>
      </c>
      <c r="K367" t="str">
        <f>_xlfn.XLOOKUP(B367,zones_lookup!A:A,zones_lookup!B:B,"Not found")</f>
        <v>Mrs. Eze</v>
      </c>
      <c r="L367">
        <f>_xlfn.XLOOKUP(B367,zones_lookup!A:A,zones_lookup!C:C,"Not found")</f>
        <v>535000</v>
      </c>
    </row>
    <row r="368" spans="1:12" x14ac:dyDescent="0.3">
      <c r="A368" s="2">
        <v>45702</v>
      </c>
      <c r="B368" t="s">
        <v>60</v>
      </c>
      <c r="C368" t="s">
        <v>61</v>
      </c>
      <c r="D368">
        <v>6</v>
      </c>
      <c r="E368">
        <v>23.7</v>
      </c>
      <c r="F368">
        <v>208.2</v>
      </c>
      <c r="G368">
        <v>4</v>
      </c>
      <c r="H368">
        <v>2</v>
      </c>
      <c r="I368" t="s">
        <v>1665</v>
      </c>
      <c r="J368">
        <v>3.9499999999999997</v>
      </c>
      <c r="K368" t="str">
        <f>_xlfn.XLOOKUP(B368,zones_lookup!A:A,zones_lookup!B:B,"Not found")</f>
        <v>Mrs. Eze</v>
      </c>
      <c r="L368">
        <f>_xlfn.XLOOKUP(B368,zones_lookup!A:A,zones_lookup!C:C,"Not found")</f>
        <v>535000</v>
      </c>
    </row>
    <row r="369" spans="1:12" x14ac:dyDescent="0.3">
      <c r="A369" s="2">
        <v>45738</v>
      </c>
      <c r="B369" t="s">
        <v>60</v>
      </c>
      <c r="C369" t="s">
        <v>69</v>
      </c>
      <c r="D369">
        <v>6</v>
      </c>
      <c r="E369">
        <v>23</v>
      </c>
      <c r="F369">
        <v>264.89999999999998</v>
      </c>
      <c r="G369">
        <v>0</v>
      </c>
      <c r="H369">
        <v>3</v>
      </c>
      <c r="I369" t="s">
        <v>1662</v>
      </c>
      <c r="J369">
        <v>3.8333333333333335</v>
      </c>
      <c r="K369" t="str">
        <f>_xlfn.XLOOKUP(B369,zones_lookup!A:A,zones_lookup!B:B,"Not found")</f>
        <v>Mrs. Eze</v>
      </c>
      <c r="L369">
        <f>_xlfn.XLOOKUP(B369,zones_lookup!A:A,zones_lookup!C:C,"Not found")</f>
        <v>535000</v>
      </c>
    </row>
    <row r="370" spans="1:12" x14ac:dyDescent="0.3">
      <c r="A370" s="2">
        <v>45823</v>
      </c>
      <c r="B370" t="s">
        <v>27</v>
      </c>
      <c r="C370" t="s">
        <v>28</v>
      </c>
      <c r="D370">
        <v>4</v>
      </c>
      <c r="E370">
        <v>29.5</v>
      </c>
      <c r="F370">
        <v>134</v>
      </c>
      <c r="G370">
        <v>0</v>
      </c>
      <c r="H370">
        <v>6</v>
      </c>
      <c r="I370" t="s">
        <v>1667</v>
      </c>
      <c r="J370">
        <v>7.375</v>
      </c>
      <c r="K370" t="str">
        <f>_xlfn.XLOOKUP(B370,zones_lookup!A:A,zones_lookup!B:B,"Not found")</f>
        <v>Mr. Bello</v>
      </c>
      <c r="L370">
        <f>_xlfn.XLOOKUP(B370,zones_lookup!A:A,zones_lookup!C:C,"Not found")</f>
        <v>1288000</v>
      </c>
    </row>
    <row r="371" spans="1:12" x14ac:dyDescent="0.3">
      <c r="A371" s="2">
        <v>45936</v>
      </c>
      <c r="B371" t="s">
        <v>108</v>
      </c>
      <c r="C371" t="s">
        <v>109</v>
      </c>
      <c r="D371">
        <v>6</v>
      </c>
      <c r="E371">
        <v>32.299999999999997</v>
      </c>
      <c r="F371">
        <v>199.3</v>
      </c>
      <c r="G371">
        <v>1</v>
      </c>
      <c r="H371">
        <v>10</v>
      </c>
      <c r="I371" t="s">
        <v>1669</v>
      </c>
      <c r="J371">
        <v>5.3833333333333329</v>
      </c>
      <c r="K371" t="str">
        <f>_xlfn.XLOOKUP(B371,zones_lookup!A:A,zones_lookup!B:B,"Not found")</f>
        <v>Mrs. Okafor</v>
      </c>
      <c r="L371">
        <f>_xlfn.XLOOKUP(B371,zones_lookup!A:A,zones_lookup!C:C,"Not found")</f>
        <v>503000</v>
      </c>
    </row>
    <row r="372" spans="1:12" x14ac:dyDescent="0.3">
      <c r="A372" s="2">
        <v>45937</v>
      </c>
      <c r="B372" t="s">
        <v>49</v>
      </c>
      <c r="C372" t="s">
        <v>50</v>
      </c>
      <c r="D372">
        <v>3</v>
      </c>
      <c r="E372">
        <v>13.6</v>
      </c>
      <c r="F372">
        <v>102.4</v>
      </c>
      <c r="G372">
        <v>3</v>
      </c>
      <c r="H372">
        <v>10</v>
      </c>
      <c r="I372" t="s">
        <v>1669</v>
      </c>
      <c r="J372">
        <v>4.5333333333333332</v>
      </c>
      <c r="K372" t="str">
        <f>_xlfn.XLOOKUP(B372,zones_lookup!A:A,zones_lookup!B:B,"Not found")</f>
        <v>Mrs. Johnson</v>
      </c>
      <c r="L372">
        <f>_xlfn.XLOOKUP(B372,zones_lookup!A:A,zones_lookup!C:C,"Not found")</f>
        <v>241000</v>
      </c>
    </row>
    <row r="373" spans="1:12" x14ac:dyDescent="0.3">
      <c r="A373" s="2">
        <v>45769</v>
      </c>
      <c r="B373" t="s">
        <v>76</v>
      </c>
      <c r="C373" t="s">
        <v>80</v>
      </c>
      <c r="D373">
        <v>5</v>
      </c>
      <c r="F373">
        <v>189.4</v>
      </c>
      <c r="G373">
        <v>1</v>
      </c>
      <c r="H373">
        <v>4</v>
      </c>
      <c r="I373" t="s">
        <v>1668</v>
      </c>
      <c r="K373" t="str">
        <f>_xlfn.XLOOKUP(B373,zones_lookup!A:A,zones_lookup!B:B,"Not found")</f>
        <v>Mr. Adeyemi</v>
      </c>
      <c r="L373">
        <f>_xlfn.XLOOKUP(B373,zones_lookup!A:A,zones_lookup!C:C,"Not found")</f>
        <v>313000</v>
      </c>
    </row>
    <row r="374" spans="1:12" x14ac:dyDescent="0.3">
      <c r="A374" s="2">
        <v>45762</v>
      </c>
      <c r="B374" t="s">
        <v>41</v>
      </c>
      <c r="C374" t="s">
        <v>46</v>
      </c>
      <c r="D374">
        <v>3</v>
      </c>
      <c r="E374">
        <v>20.8</v>
      </c>
      <c r="F374">
        <v>107.1</v>
      </c>
      <c r="G374">
        <v>4</v>
      </c>
      <c r="H374">
        <v>4</v>
      </c>
      <c r="I374" t="s">
        <v>1668</v>
      </c>
      <c r="J374">
        <v>6.9333333333333336</v>
      </c>
      <c r="K374" t="str">
        <f>_xlfn.XLOOKUP(B374,zones_lookup!A:A,zones_lookup!B:B,"Not found")</f>
        <v>Mrs. Adisa</v>
      </c>
      <c r="L374">
        <f>_xlfn.XLOOKUP(B374,zones_lookup!A:A,zones_lookup!C:C,"Not found")</f>
        <v>633000</v>
      </c>
    </row>
    <row r="375" spans="1:12" x14ac:dyDescent="0.3">
      <c r="A375" s="2">
        <v>45964</v>
      </c>
      <c r="B375" t="s">
        <v>60</v>
      </c>
      <c r="C375" t="s">
        <v>61</v>
      </c>
      <c r="D375">
        <v>4</v>
      </c>
      <c r="E375">
        <v>16</v>
      </c>
      <c r="F375">
        <v>146.80000000000001</v>
      </c>
      <c r="G375">
        <v>2</v>
      </c>
      <c r="H375">
        <v>11</v>
      </c>
      <c r="I375" t="s">
        <v>1664</v>
      </c>
      <c r="J375">
        <v>4</v>
      </c>
      <c r="K375" t="str">
        <f>_xlfn.XLOOKUP(B375,zones_lookup!A:A,zones_lookup!B:B,"Not found")</f>
        <v>Mrs. Eze</v>
      </c>
      <c r="L375">
        <f>_xlfn.XLOOKUP(B375,zones_lookup!A:A,zones_lookup!C:C,"Not found")</f>
        <v>535000</v>
      </c>
    </row>
    <row r="376" spans="1:12" x14ac:dyDescent="0.3">
      <c r="A376" s="2">
        <v>45699</v>
      </c>
      <c r="B376" t="s">
        <v>49</v>
      </c>
      <c r="C376" t="s">
        <v>52</v>
      </c>
      <c r="D376">
        <v>4</v>
      </c>
      <c r="E376">
        <v>13.5</v>
      </c>
      <c r="F376">
        <v>139.69999999999999</v>
      </c>
      <c r="G376">
        <v>2</v>
      </c>
      <c r="H376">
        <v>2</v>
      </c>
      <c r="I376" t="s">
        <v>1665</v>
      </c>
      <c r="J376">
        <v>3.375</v>
      </c>
      <c r="K376" t="str">
        <f>_xlfn.XLOOKUP(B376,zones_lookup!A:A,zones_lookup!B:B,"Not found")</f>
        <v>Mrs. Johnson</v>
      </c>
      <c r="L376">
        <f>_xlfn.XLOOKUP(B376,zones_lookup!A:A,zones_lookup!C:C,"Not found")</f>
        <v>241000</v>
      </c>
    </row>
    <row r="377" spans="1:12" x14ac:dyDescent="0.3">
      <c r="A377" s="2">
        <v>45940</v>
      </c>
      <c r="B377" t="s">
        <v>49</v>
      </c>
      <c r="C377" t="s">
        <v>52</v>
      </c>
      <c r="D377">
        <v>6</v>
      </c>
      <c r="E377">
        <v>24.6</v>
      </c>
      <c r="F377">
        <v>219</v>
      </c>
      <c r="G377">
        <v>4</v>
      </c>
      <c r="H377">
        <v>10</v>
      </c>
      <c r="I377" t="s">
        <v>1669</v>
      </c>
      <c r="J377">
        <v>4.1000000000000005</v>
      </c>
      <c r="K377" t="str">
        <f>_xlfn.XLOOKUP(B377,zones_lookup!A:A,zones_lookup!B:B,"Not found")</f>
        <v>Mrs. Johnson</v>
      </c>
      <c r="L377">
        <f>_xlfn.XLOOKUP(B377,zones_lookup!A:A,zones_lookup!C:C,"Not found")</f>
        <v>241000</v>
      </c>
    </row>
    <row r="378" spans="1:12" x14ac:dyDescent="0.3">
      <c r="A378" s="2">
        <v>45863</v>
      </c>
      <c r="B378" t="s">
        <v>27</v>
      </c>
      <c r="C378" t="s">
        <v>34</v>
      </c>
      <c r="D378">
        <v>3</v>
      </c>
      <c r="E378">
        <v>19.2</v>
      </c>
      <c r="F378">
        <v>99.9</v>
      </c>
      <c r="G378">
        <v>1</v>
      </c>
      <c r="H378">
        <v>7</v>
      </c>
      <c r="I378" t="s">
        <v>1661</v>
      </c>
      <c r="J378">
        <v>6.3999999999999995</v>
      </c>
      <c r="K378" t="str">
        <f>_xlfn.XLOOKUP(B378,zones_lookup!A:A,zones_lookup!B:B,"Not found")</f>
        <v>Mr. Bello</v>
      </c>
      <c r="L378">
        <f>_xlfn.XLOOKUP(B378,zones_lookup!A:A,zones_lookup!C:C,"Not found")</f>
        <v>1288000</v>
      </c>
    </row>
    <row r="379" spans="1:12" x14ac:dyDescent="0.3">
      <c r="A379" s="2">
        <v>45739</v>
      </c>
      <c r="B379" t="s">
        <v>89</v>
      </c>
      <c r="C379" t="s">
        <v>131</v>
      </c>
      <c r="D379">
        <v>3</v>
      </c>
      <c r="E379">
        <v>17</v>
      </c>
      <c r="F379">
        <v>117.3</v>
      </c>
      <c r="G379">
        <v>1</v>
      </c>
      <c r="H379">
        <v>3</v>
      </c>
      <c r="I379" t="s">
        <v>1662</v>
      </c>
      <c r="J379">
        <v>5.666666666666667</v>
      </c>
      <c r="K379" t="str">
        <f>_xlfn.XLOOKUP(B379,zones_lookup!A:A,zones_lookup!B:B,"Not found")</f>
        <v>Mr. Salami</v>
      </c>
      <c r="L379">
        <f>_xlfn.XLOOKUP(B379,zones_lookup!A:A,zones_lookup!C:C,"Not found")</f>
        <v>200000</v>
      </c>
    </row>
    <row r="380" spans="1:12" x14ac:dyDescent="0.3">
      <c r="A380" s="2">
        <v>45677</v>
      </c>
      <c r="B380" t="s">
        <v>49</v>
      </c>
      <c r="C380" t="s">
        <v>50</v>
      </c>
      <c r="D380">
        <v>6</v>
      </c>
      <c r="E380">
        <v>26</v>
      </c>
      <c r="F380">
        <v>236.7</v>
      </c>
      <c r="G380">
        <v>1</v>
      </c>
      <c r="H380">
        <v>1</v>
      </c>
      <c r="I380" t="s">
        <v>1660</v>
      </c>
      <c r="J380">
        <v>4.333333333333333</v>
      </c>
      <c r="K380" t="str">
        <f>_xlfn.XLOOKUP(B380,zones_lookup!A:A,zones_lookup!B:B,"Not found")</f>
        <v>Mrs. Johnson</v>
      </c>
      <c r="L380">
        <f>_xlfn.XLOOKUP(B380,zones_lookup!A:A,zones_lookup!C:C,"Not found")</f>
        <v>241000</v>
      </c>
    </row>
    <row r="381" spans="1:12" x14ac:dyDescent="0.3">
      <c r="A381" s="2">
        <v>45951</v>
      </c>
      <c r="B381" t="s">
        <v>76</v>
      </c>
      <c r="C381" t="s">
        <v>77</v>
      </c>
      <c r="D381">
        <v>4</v>
      </c>
      <c r="E381">
        <v>27.3</v>
      </c>
      <c r="F381">
        <v>124.7</v>
      </c>
      <c r="G381">
        <v>1</v>
      </c>
      <c r="H381">
        <v>10</v>
      </c>
      <c r="I381" t="s">
        <v>1669</v>
      </c>
      <c r="J381">
        <v>6.8250000000000002</v>
      </c>
      <c r="K381" t="str">
        <f>_xlfn.XLOOKUP(B381,zones_lookup!A:A,zones_lookup!B:B,"Not found")</f>
        <v>Mr. Adeyemi</v>
      </c>
      <c r="L381">
        <f>_xlfn.XLOOKUP(B381,zones_lookup!A:A,zones_lookup!C:C,"Not found")</f>
        <v>313000</v>
      </c>
    </row>
    <row r="382" spans="1:12" x14ac:dyDescent="0.3">
      <c r="A382" s="2">
        <v>46000</v>
      </c>
      <c r="B382" t="s">
        <v>41</v>
      </c>
      <c r="C382" t="s">
        <v>46</v>
      </c>
      <c r="D382">
        <v>3</v>
      </c>
      <c r="E382">
        <v>31</v>
      </c>
      <c r="F382">
        <v>132.4</v>
      </c>
      <c r="G382">
        <v>0</v>
      </c>
      <c r="H382">
        <v>12</v>
      </c>
      <c r="I382" t="s">
        <v>1671</v>
      </c>
      <c r="J382">
        <v>10.333333333333334</v>
      </c>
      <c r="K382" t="str">
        <f>_xlfn.XLOOKUP(B382,zones_lookup!A:A,zones_lookup!B:B,"Not found")</f>
        <v>Mrs. Adisa</v>
      </c>
      <c r="L382">
        <f>_xlfn.XLOOKUP(B382,zones_lookup!A:A,zones_lookup!C:C,"Not found")</f>
        <v>633000</v>
      </c>
    </row>
    <row r="383" spans="1:12" x14ac:dyDescent="0.3">
      <c r="A383" s="2">
        <v>45816</v>
      </c>
      <c r="B383" t="s">
        <v>76</v>
      </c>
      <c r="C383" t="s">
        <v>80</v>
      </c>
      <c r="D383">
        <v>5</v>
      </c>
      <c r="E383">
        <v>35.200000000000003</v>
      </c>
      <c r="F383">
        <v>217.7</v>
      </c>
      <c r="G383">
        <v>1</v>
      </c>
      <c r="H383">
        <v>6</v>
      </c>
      <c r="I383" t="s">
        <v>1667</v>
      </c>
      <c r="J383">
        <v>7.0400000000000009</v>
      </c>
      <c r="K383" t="str">
        <f>_xlfn.XLOOKUP(B383,zones_lookup!A:A,zones_lookup!B:B,"Not found")</f>
        <v>Mr. Adeyemi</v>
      </c>
      <c r="L383">
        <f>_xlfn.XLOOKUP(B383,zones_lookup!A:A,zones_lookup!C:C,"Not found")</f>
        <v>313000</v>
      </c>
    </row>
    <row r="384" spans="1:12" x14ac:dyDescent="0.3">
      <c r="A384" s="2">
        <v>45760</v>
      </c>
      <c r="B384" t="s">
        <v>93</v>
      </c>
      <c r="C384" t="s">
        <v>57</v>
      </c>
      <c r="D384">
        <v>2</v>
      </c>
      <c r="E384">
        <v>7.5</v>
      </c>
      <c r="F384">
        <v>84.4</v>
      </c>
      <c r="G384">
        <v>2</v>
      </c>
      <c r="H384">
        <v>4</v>
      </c>
      <c r="I384" t="s">
        <v>1668</v>
      </c>
      <c r="J384">
        <v>3.75</v>
      </c>
      <c r="K384" t="str">
        <f>_xlfn.XLOOKUP(B384,zones_lookup!A:A,zones_lookup!B:B,"Not found")</f>
        <v>Mr. Ogunleye</v>
      </c>
      <c r="L384">
        <f>_xlfn.XLOOKUP(B384,zones_lookup!A:A,zones_lookup!C:C,"Not found")</f>
        <v>181000</v>
      </c>
    </row>
    <row r="385" spans="1:12" x14ac:dyDescent="0.3">
      <c r="A385" s="2">
        <v>45680</v>
      </c>
      <c r="B385" t="s">
        <v>49</v>
      </c>
      <c r="C385" t="s">
        <v>50</v>
      </c>
      <c r="D385">
        <v>3</v>
      </c>
      <c r="E385">
        <v>13.8</v>
      </c>
      <c r="F385">
        <v>97.9</v>
      </c>
      <c r="G385">
        <v>5</v>
      </c>
      <c r="H385">
        <v>1</v>
      </c>
      <c r="I385" t="s">
        <v>1660</v>
      </c>
      <c r="J385">
        <v>4.6000000000000005</v>
      </c>
      <c r="K385" t="str">
        <f>_xlfn.XLOOKUP(B385,zones_lookup!A:A,zones_lookup!B:B,"Not found")</f>
        <v>Mrs. Johnson</v>
      </c>
      <c r="L385">
        <f>_xlfn.XLOOKUP(B385,zones_lookup!A:A,zones_lookup!C:C,"Not found")</f>
        <v>241000</v>
      </c>
    </row>
    <row r="386" spans="1:12" x14ac:dyDescent="0.3">
      <c r="A386" s="2">
        <v>45973</v>
      </c>
      <c r="B386" t="s">
        <v>93</v>
      </c>
      <c r="C386" t="s">
        <v>57</v>
      </c>
      <c r="D386">
        <v>3</v>
      </c>
      <c r="E386">
        <v>11.8</v>
      </c>
      <c r="F386">
        <v>109.1</v>
      </c>
      <c r="G386">
        <v>3</v>
      </c>
      <c r="H386">
        <v>11</v>
      </c>
      <c r="I386" t="s">
        <v>1664</v>
      </c>
      <c r="J386">
        <v>3.9333333333333336</v>
      </c>
      <c r="K386" t="str">
        <f>_xlfn.XLOOKUP(B386,zones_lookup!A:A,zones_lookup!B:B,"Not found")</f>
        <v>Mr. Ogunleye</v>
      </c>
      <c r="L386">
        <f>_xlfn.XLOOKUP(B386,zones_lookup!A:A,zones_lookup!C:C,"Not found")</f>
        <v>181000</v>
      </c>
    </row>
    <row r="387" spans="1:12" x14ac:dyDescent="0.3">
      <c r="A387" s="2">
        <v>45832</v>
      </c>
      <c r="B387" t="s">
        <v>76</v>
      </c>
      <c r="C387" t="s">
        <v>80</v>
      </c>
      <c r="D387">
        <v>6</v>
      </c>
      <c r="E387">
        <v>31.7</v>
      </c>
      <c r="F387">
        <v>203.3</v>
      </c>
      <c r="G387">
        <v>2</v>
      </c>
      <c r="H387">
        <v>6</v>
      </c>
      <c r="I387" t="s">
        <v>1667</v>
      </c>
      <c r="J387">
        <v>5.2833333333333332</v>
      </c>
      <c r="K387" t="str">
        <f>_xlfn.XLOOKUP(B387,zones_lookup!A:A,zones_lookup!B:B,"Not found")</f>
        <v>Mr. Adeyemi</v>
      </c>
      <c r="L387">
        <f>_xlfn.XLOOKUP(B387,zones_lookup!A:A,zones_lookup!C:C,"Not found")</f>
        <v>313000</v>
      </c>
    </row>
    <row r="388" spans="1:12" x14ac:dyDescent="0.3">
      <c r="A388" s="2">
        <v>45998</v>
      </c>
      <c r="B388" t="s">
        <v>49</v>
      </c>
      <c r="C388" t="s">
        <v>50</v>
      </c>
      <c r="D388">
        <v>5</v>
      </c>
      <c r="E388">
        <v>22.5</v>
      </c>
      <c r="F388">
        <v>173.1</v>
      </c>
      <c r="G388">
        <v>2</v>
      </c>
      <c r="H388">
        <v>12</v>
      </c>
      <c r="I388" t="s">
        <v>1671</v>
      </c>
      <c r="J388">
        <v>4.5</v>
      </c>
      <c r="K388" t="str">
        <f>_xlfn.XLOOKUP(B388,zones_lookup!A:A,zones_lookup!B:B,"Not found")</f>
        <v>Mrs. Johnson</v>
      </c>
      <c r="L388">
        <f>_xlfn.XLOOKUP(B388,zones_lookup!A:A,zones_lookup!C:C,"Not found")</f>
        <v>241000</v>
      </c>
    </row>
    <row r="389" spans="1:12" x14ac:dyDescent="0.3">
      <c r="A389" s="2">
        <v>45678</v>
      </c>
      <c r="B389" t="s">
        <v>76</v>
      </c>
      <c r="C389" t="s">
        <v>80</v>
      </c>
      <c r="D389">
        <v>6</v>
      </c>
      <c r="E389">
        <v>38.200000000000003</v>
      </c>
      <c r="F389">
        <v>259.3</v>
      </c>
      <c r="G389">
        <v>0</v>
      </c>
      <c r="H389">
        <v>1</v>
      </c>
      <c r="I389" t="s">
        <v>1660</v>
      </c>
      <c r="J389">
        <v>6.3666666666666671</v>
      </c>
      <c r="K389" t="str">
        <f>_xlfn.XLOOKUP(B389,zones_lookup!A:A,zones_lookup!B:B,"Not found")</f>
        <v>Mr. Adeyemi</v>
      </c>
      <c r="L389">
        <f>_xlfn.XLOOKUP(B389,zones_lookup!A:A,zones_lookup!C:C,"Not found")</f>
        <v>313000</v>
      </c>
    </row>
    <row r="390" spans="1:12" x14ac:dyDescent="0.3">
      <c r="A390" s="2">
        <v>45688</v>
      </c>
      <c r="B390" t="s">
        <v>41</v>
      </c>
      <c r="C390" t="s">
        <v>73</v>
      </c>
      <c r="D390">
        <v>4</v>
      </c>
      <c r="E390">
        <v>28.4</v>
      </c>
      <c r="F390">
        <v>179.2</v>
      </c>
      <c r="G390">
        <v>2</v>
      </c>
      <c r="H390">
        <v>1</v>
      </c>
      <c r="I390" t="s">
        <v>1660</v>
      </c>
      <c r="J390">
        <v>7.1</v>
      </c>
      <c r="K390" t="str">
        <f>_xlfn.XLOOKUP(B390,zones_lookup!A:A,zones_lookup!B:B,"Not found")</f>
        <v>Mrs. Adisa</v>
      </c>
      <c r="L390">
        <f>_xlfn.XLOOKUP(B390,zones_lookup!A:A,zones_lookup!C:C,"Not found")</f>
        <v>633000</v>
      </c>
    </row>
    <row r="391" spans="1:12" x14ac:dyDescent="0.3">
      <c r="A391" s="2">
        <v>45996</v>
      </c>
      <c r="B391" t="s">
        <v>108</v>
      </c>
      <c r="C391" t="s">
        <v>169</v>
      </c>
      <c r="D391">
        <v>5</v>
      </c>
      <c r="E391">
        <v>44.3</v>
      </c>
      <c r="F391">
        <v>201.7</v>
      </c>
      <c r="G391">
        <v>0</v>
      </c>
      <c r="H391">
        <v>12</v>
      </c>
      <c r="I391" t="s">
        <v>1671</v>
      </c>
      <c r="J391">
        <v>8.86</v>
      </c>
      <c r="K391" t="str">
        <f>_xlfn.XLOOKUP(B391,zones_lookup!A:A,zones_lookup!B:B,"Not found")</f>
        <v>Mrs. Okafor</v>
      </c>
      <c r="L391">
        <f>_xlfn.XLOOKUP(B391,zones_lookup!A:A,zones_lookup!C:C,"Not found")</f>
        <v>503000</v>
      </c>
    </row>
    <row r="392" spans="1:12" x14ac:dyDescent="0.3">
      <c r="A392" s="2">
        <v>45663</v>
      </c>
      <c r="B392" t="s">
        <v>41</v>
      </c>
      <c r="C392" t="s">
        <v>73</v>
      </c>
      <c r="D392">
        <v>4</v>
      </c>
      <c r="E392">
        <v>29.2</v>
      </c>
      <c r="F392">
        <v>163.1</v>
      </c>
      <c r="G392">
        <v>2</v>
      </c>
      <c r="H392">
        <v>1</v>
      </c>
      <c r="I392" t="s">
        <v>1660</v>
      </c>
      <c r="J392">
        <v>7.3</v>
      </c>
      <c r="K392" t="str">
        <f>_xlfn.XLOOKUP(B392,zones_lookup!A:A,zones_lookup!B:B,"Not found")</f>
        <v>Mrs. Adisa</v>
      </c>
      <c r="L392">
        <f>_xlfn.XLOOKUP(B392,zones_lookup!A:A,zones_lookup!C:C,"Not found")</f>
        <v>633000</v>
      </c>
    </row>
    <row r="393" spans="1:12" x14ac:dyDescent="0.3">
      <c r="A393" s="2">
        <v>45941</v>
      </c>
      <c r="B393" t="s">
        <v>76</v>
      </c>
      <c r="C393" t="s">
        <v>80</v>
      </c>
      <c r="D393">
        <v>2</v>
      </c>
      <c r="E393">
        <v>14.1</v>
      </c>
      <c r="F393">
        <v>80.400000000000006</v>
      </c>
      <c r="G393">
        <v>1</v>
      </c>
      <c r="H393">
        <v>10</v>
      </c>
      <c r="I393" t="s">
        <v>1669</v>
      </c>
      <c r="J393">
        <v>7.05</v>
      </c>
      <c r="K393" t="str">
        <f>_xlfn.XLOOKUP(B393,zones_lookup!A:A,zones_lookup!B:B,"Not found")</f>
        <v>Mr. Adeyemi</v>
      </c>
      <c r="L393">
        <f>_xlfn.XLOOKUP(B393,zones_lookup!A:A,zones_lookup!C:C,"Not found")</f>
        <v>313000</v>
      </c>
    </row>
    <row r="394" spans="1:12" x14ac:dyDescent="0.3">
      <c r="A394" s="2">
        <v>45761</v>
      </c>
      <c r="B394" t="s">
        <v>76</v>
      </c>
      <c r="C394" t="s">
        <v>80</v>
      </c>
      <c r="D394">
        <v>6</v>
      </c>
      <c r="E394">
        <v>39.5</v>
      </c>
      <c r="F394">
        <v>211.2</v>
      </c>
      <c r="G394">
        <v>2</v>
      </c>
      <c r="H394">
        <v>4</v>
      </c>
      <c r="I394" t="s">
        <v>1668</v>
      </c>
      <c r="J394">
        <v>6.583333333333333</v>
      </c>
      <c r="K394" t="str">
        <f>_xlfn.XLOOKUP(B394,zones_lookup!A:A,zones_lookup!B:B,"Not found")</f>
        <v>Mr. Adeyemi</v>
      </c>
      <c r="L394">
        <f>_xlfn.XLOOKUP(B394,zones_lookup!A:A,zones_lookup!C:C,"Not found")</f>
        <v>313000</v>
      </c>
    </row>
    <row r="395" spans="1:12" x14ac:dyDescent="0.3">
      <c r="A395" s="2">
        <v>45813</v>
      </c>
      <c r="B395" t="s">
        <v>27</v>
      </c>
      <c r="C395" t="s">
        <v>34</v>
      </c>
      <c r="D395">
        <v>3</v>
      </c>
      <c r="E395">
        <v>23</v>
      </c>
      <c r="F395">
        <v>99.3</v>
      </c>
      <c r="G395">
        <v>0</v>
      </c>
      <c r="H395">
        <v>6</v>
      </c>
      <c r="I395" t="s">
        <v>1667</v>
      </c>
      <c r="J395">
        <v>7.666666666666667</v>
      </c>
      <c r="K395" t="str">
        <f>_xlfn.XLOOKUP(B395,zones_lookup!A:A,zones_lookup!B:B,"Not found")</f>
        <v>Mr. Bello</v>
      </c>
      <c r="L395">
        <f>_xlfn.XLOOKUP(B395,zones_lookup!A:A,zones_lookup!C:C,"Not found")</f>
        <v>1288000</v>
      </c>
    </row>
    <row r="396" spans="1:12" x14ac:dyDescent="0.3">
      <c r="A396" s="2">
        <v>45853</v>
      </c>
      <c r="B396" t="s">
        <v>41</v>
      </c>
      <c r="C396" t="s">
        <v>42</v>
      </c>
      <c r="D396">
        <v>4</v>
      </c>
      <c r="E396">
        <v>29.3</v>
      </c>
      <c r="F396">
        <v>136.6</v>
      </c>
      <c r="G396">
        <v>1</v>
      </c>
      <c r="H396">
        <v>7</v>
      </c>
      <c r="I396" t="s">
        <v>1661</v>
      </c>
      <c r="J396">
        <v>7.3250000000000002</v>
      </c>
      <c r="K396" t="str">
        <f>_xlfn.XLOOKUP(B396,zones_lookup!A:A,zones_lookup!B:B,"Not found")</f>
        <v>Mrs. Adisa</v>
      </c>
      <c r="L396">
        <f>_xlfn.XLOOKUP(B396,zones_lookup!A:A,zones_lookup!C:C,"Not found")</f>
        <v>633000</v>
      </c>
    </row>
    <row r="397" spans="1:12" x14ac:dyDescent="0.3">
      <c r="A397" s="2">
        <v>45896</v>
      </c>
      <c r="B397" t="s">
        <v>27</v>
      </c>
      <c r="C397" t="s">
        <v>34</v>
      </c>
      <c r="D397">
        <v>5</v>
      </c>
      <c r="E397">
        <v>32.4</v>
      </c>
      <c r="F397">
        <v>143.80000000000001</v>
      </c>
      <c r="G397">
        <v>1</v>
      </c>
      <c r="H397">
        <v>8</v>
      </c>
      <c r="I397" t="s">
        <v>1666</v>
      </c>
      <c r="J397">
        <v>6.4799999999999995</v>
      </c>
      <c r="K397" t="str">
        <f>_xlfn.XLOOKUP(B397,zones_lookup!A:A,zones_lookup!B:B,"Not found")</f>
        <v>Mr. Bello</v>
      </c>
      <c r="L397">
        <f>_xlfn.XLOOKUP(B397,zones_lookup!A:A,zones_lookup!C:C,"Not found")</f>
        <v>1288000</v>
      </c>
    </row>
    <row r="398" spans="1:12" x14ac:dyDescent="0.3">
      <c r="A398" s="2">
        <v>45901</v>
      </c>
      <c r="B398" t="s">
        <v>41</v>
      </c>
      <c r="C398" t="s">
        <v>73</v>
      </c>
      <c r="D398">
        <v>2</v>
      </c>
      <c r="E398">
        <v>11</v>
      </c>
      <c r="F398">
        <v>78.3</v>
      </c>
      <c r="G398">
        <v>1</v>
      </c>
      <c r="H398">
        <v>9</v>
      </c>
      <c r="I398" t="s">
        <v>1670</v>
      </c>
      <c r="J398">
        <v>5.5</v>
      </c>
      <c r="K398" t="str">
        <f>_xlfn.XLOOKUP(B398,zones_lookup!A:A,zones_lookup!B:B,"Not found")</f>
        <v>Mrs. Adisa</v>
      </c>
      <c r="L398">
        <f>_xlfn.XLOOKUP(B398,zones_lookup!A:A,zones_lookup!C:C,"Not found")</f>
        <v>633000</v>
      </c>
    </row>
    <row r="399" spans="1:12" x14ac:dyDescent="0.3">
      <c r="A399" s="2">
        <v>45693</v>
      </c>
      <c r="B399" t="s">
        <v>27</v>
      </c>
      <c r="C399" t="s">
        <v>38</v>
      </c>
      <c r="D399">
        <v>5</v>
      </c>
      <c r="E399">
        <v>28.8</v>
      </c>
      <c r="F399">
        <v>186.1</v>
      </c>
      <c r="G399">
        <v>0</v>
      </c>
      <c r="H399">
        <v>2</v>
      </c>
      <c r="I399" t="s">
        <v>1665</v>
      </c>
      <c r="J399">
        <v>5.76</v>
      </c>
      <c r="K399" t="str">
        <f>_xlfn.XLOOKUP(B399,zones_lookup!A:A,zones_lookup!B:B,"Not found")</f>
        <v>Mr. Bello</v>
      </c>
      <c r="L399">
        <f>_xlfn.XLOOKUP(B399,zones_lookup!A:A,zones_lookup!C:C,"Not found")</f>
        <v>1288000</v>
      </c>
    </row>
    <row r="400" spans="1:12" x14ac:dyDescent="0.3">
      <c r="A400" s="2">
        <v>45673</v>
      </c>
      <c r="B400" t="s">
        <v>89</v>
      </c>
      <c r="C400" t="s">
        <v>131</v>
      </c>
      <c r="D400">
        <v>4</v>
      </c>
      <c r="E400">
        <v>24.2</v>
      </c>
      <c r="F400">
        <v>173.5</v>
      </c>
      <c r="G400">
        <v>0</v>
      </c>
      <c r="H400">
        <v>1</v>
      </c>
      <c r="I400" t="s">
        <v>1660</v>
      </c>
      <c r="J400">
        <v>6.05</v>
      </c>
      <c r="K400" t="str">
        <f>_xlfn.XLOOKUP(B400,zones_lookup!A:A,zones_lookup!B:B,"Not found")</f>
        <v>Mr. Salami</v>
      </c>
      <c r="L400">
        <f>_xlfn.XLOOKUP(B400,zones_lookup!A:A,zones_lookup!C:C,"Not found")</f>
        <v>200000</v>
      </c>
    </row>
    <row r="401" spans="1:12" x14ac:dyDescent="0.3">
      <c r="A401" s="2">
        <v>45690</v>
      </c>
      <c r="B401" t="s">
        <v>76</v>
      </c>
      <c r="C401" t="s">
        <v>80</v>
      </c>
      <c r="D401">
        <v>2</v>
      </c>
      <c r="E401">
        <v>12.9</v>
      </c>
      <c r="F401">
        <v>95.1</v>
      </c>
      <c r="G401">
        <v>0</v>
      </c>
      <c r="H401">
        <v>2</v>
      </c>
      <c r="I401" t="s">
        <v>1665</v>
      </c>
      <c r="J401">
        <v>6.45</v>
      </c>
      <c r="K401" t="str">
        <f>_xlfn.XLOOKUP(B401,zones_lookup!A:A,zones_lookup!B:B,"Not found")</f>
        <v>Mr. Adeyemi</v>
      </c>
      <c r="L401">
        <f>_xlfn.XLOOKUP(B401,zones_lookup!A:A,zones_lookup!C:C,"Not found")</f>
        <v>313000</v>
      </c>
    </row>
    <row r="402" spans="1:12" x14ac:dyDescent="0.3">
      <c r="A402" s="2">
        <v>45728</v>
      </c>
      <c r="B402" t="s">
        <v>76</v>
      </c>
      <c r="C402" t="s">
        <v>84</v>
      </c>
      <c r="D402">
        <v>2</v>
      </c>
      <c r="E402">
        <v>14.3</v>
      </c>
      <c r="F402">
        <v>93.2</v>
      </c>
      <c r="G402">
        <v>1</v>
      </c>
      <c r="H402">
        <v>3</v>
      </c>
      <c r="I402" t="s">
        <v>1662</v>
      </c>
      <c r="J402">
        <v>7.15</v>
      </c>
      <c r="K402" t="str">
        <f>_xlfn.XLOOKUP(B402,zones_lookup!A:A,zones_lookup!B:B,"Not found")</f>
        <v>Mr. Adeyemi</v>
      </c>
      <c r="L402">
        <f>_xlfn.XLOOKUP(B402,zones_lookup!A:A,zones_lookup!C:C,"Not found")</f>
        <v>313000</v>
      </c>
    </row>
    <row r="403" spans="1:12" x14ac:dyDescent="0.3">
      <c r="A403" s="2">
        <v>46017</v>
      </c>
      <c r="B403" t="s">
        <v>49</v>
      </c>
      <c r="C403" t="s">
        <v>50</v>
      </c>
      <c r="D403">
        <v>4</v>
      </c>
      <c r="E403">
        <v>23.3</v>
      </c>
      <c r="F403">
        <v>141.5</v>
      </c>
      <c r="H403">
        <v>12</v>
      </c>
      <c r="I403" t="s">
        <v>1671</v>
      </c>
      <c r="J403">
        <v>5.8250000000000002</v>
      </c>
      <c r="K403" t="str">
        <f>_xlfn.XLOOKUP(B403,zones_lookup!A:A,zones_lookup!B:B,"Not found")</f>
        <v>Mrs. Johnson</v>
      </c>
      <c r="L403">
        <f>_xlfn.XLOOKUP(B403,zones_lookup!A:A,zones_lookup!C:C,"Not found")</f>
        <v>241000</v>
      </c>
    </row>
    <row r="404" spans="1:12" x14ac:dyDescent="0.3">
      <c r="A404" s="2">
        <v>45714</v>
      </c>
      <c r="B404" t="s">
        <v>89</v>
      </c>
      <c r="C404" t="s">
        <v>131</v>
      </c>
      <c r="D404">
        <v>4</v>
      </c>
      <c r="E404">
        <v>19.899999999999999</v>
      </c>
      <c r="F404">
        <v>146.69999999999999</v>
      </c>
      <c r="G404">
        <v>0</v>
      </c>
      <c r="H404">
        <v>2</v>
      </c>
      <c r="I404" t="s">
        <v>1665</v>
      </c>
      <c r="J404">
        <v>4.9749999999999996</v>
      </c>
      <c r="K404" t="str">
        <f>_xlfn.XLOOKUP(B404,zones_lookup!A:A,zones_lookup!B:B,"Not found")</f>
        <v>Mr. Salami</v>
      </c>
      <c r="L404">
        <f>_xlfn.XLOOKUP(B404,zones_lookup!A:A,zones_lookup!C:C,"Not found")</f>
        <v>200000</v>
      </c>
    </row>
    <row r="405" spans="1:12" x14ac:dyDescent="0.3">
      <c r="A405" s="2">
        <v>45884</v>
      </c>
      <c r="B405" t="s">
        <v>60</v>
      </c>
      <c r="C405" t="s">
        <v>61</v>
      </c>
      <c r="D405">
        <v>5</v>
      </c>
      <c r="E405">
        <v>15.9</v>
      </c>
      <c r="F405">
        <v>212.5</v>
      </c>
      <c r="G405">
        <v>2</v>
      </c>
      <c r="H405">
        <v>8</v>
      </c>
      <c r="I405" t="s">
        <v>1666</v>
      </c>
      <c r="J405">
        <v>3.18</v>
      </c>
      <c r="K405" t="str">
        <f>_xlfn.XLOOKUP(B405,zones_lookup!A:A,zones_lookup!B:B,"Not found")</f>
        <v>Mrs. Eze</v>
      </c>
      <c r="L405">
        <f>_xlfn.XLOOKUP(B405,zones_lookup!A:A,zones_lookup!C:C,"Not found")</f>
        <v>535000</v>
      </c>
    </row>
    <row r="406" spans="1:12" x14ac:dyDescent="0.3">
      <c r="A406" s="2">
        <v>45711</v>
      </c>
      <c r="B406" t="s">
        <v>27</v>
      </c>
      <c r="C406" t="s">
        <v>38</v>
      </c>
      <c r="D406">
        <v>4</v>
      </c>
      <c r="E406">
        <v>25.8</v>
      </c>
      <c r="F406">
        <v>133.30000000000001</v>
      </c>
      <c r="G406">
        <v>1</v>
      </c>
      <c r="H406">
        <v>2</v>
      </c>
      <c r="I406" t="s">
        <v>1665</v>
      </c>
      <c r="J406">
        <v>6.45</v>
      </c>
      <c r="K406" t="str">
        <f>_xlfn.XLOOKUP(B406,zones_lookup!A:A,zones_lookup!B:B,"Not found")</f>
        <v>Mr. Bello</v>
      </c>
      <c r="L406">
        <f>_xlfn.XLOOKUP(B406,zones_lookup!A:A,zones_lookup!C:C,"Not found")</f>
        <v>1288000</v>
      </c>
    </row>
    <row r="407" spans="1:12" x14ac:dyDescent="0.3">
      <c r="A407" s="2">
        <v>45932</v>
      </c>
      <c r="B407" t="s">
        <v>41</v>
      </c>
      <c r="C407" t="s">
        <v>42</v>
      </c>
      <c r="D407">
        <v>2</v>
      </c>
      <c r="E407">
        <v>11.6</v>
      </c>
      <c r="F407">
        <v>70.900000000000006</v>
      </c>
      <c r="G407">
        <v>1</v>
      </c>
      <c r="H407">
        <v>10</v>
      </c>
      <c r="I407" t="s">
        <v>1669</v>
      </c>
      <c r="J407">
        <v>5.8</v>
      </c>
      <c r="K407" t="str">
        <f>_xlfn.XLOOKUP(B407,zones_lookup!A:A,zones_lookup!B:B,"Not found")</f>
        <v>Mrs. Adisa</v>
      </c>
      <c r="L407">
        <f>_xlfn.XLOOKUP(B407,zones_lookup!A:A,zones_lookup!C:C,"Not found")</f>
        <v>633000</v>
      </c>
    </row>
    <row r="408" spans="1:12" x14ac:dyDescent="0.3">
      <c r="A408" s="2">
        <v>45966</v>
      </c>
      <c r="B408" t="s">
        <v>49</v>
      </c>
      <c r="C408" t="s">
        <v>50</v>
      </c>
      <c r="D408">
        <v>2</v>
      </c>
      <c r="E408">
        <v>9.5</v>
      </c>
      <c r="F408">
        <v>77.599999999999994</v>
      </c>
      <c r="G408">
        <v>2</v>
      </c>
      <c r="H408">
        <v>11</v>
      </c>
      <c r="I408" t="s">
        <v>1664</v>
      </c>
      <c r="J408">
        <v>4.75</v>
      </c>
      <c r="K408" t="str">
        <f>_xlfn.XLOOKUP(B408,zones_lookup!A:A,zones_lookup!B:B,"Not found")</f>
        <v>Mrs. Johnson</v>
      </c>
      <c r="L408">
        <f>_xlfn.XLOOKUP(B408,zones_lookup!A:A,zones_lookup!C:C,"Not found")</f>
        <v>241000</v>
      </c>
    </row>
    <row r="409" spans="1:12" x14ac:dyDescent="0.3">
      <c r="A409" s="2">
        <v>45765</v>
      </c>
      <c r="B409" t="s">
        <v>49</v>
      </c>
      <c r="C409" t="s">
        <v>50</v>
      </c>
      <c r="D409">
        <v>2</v>
      </c>
      <c r="E409">
        <v>8</v>
      </c>
      <c r="F409">
        <v>61.8</v>
      </c>
      <c r="G409">
        <v>2</v>
      </c>
      <c r="H409">
        <v>4</v>
      </c>
      <c r="I409" t="s">
        <v>1668</v>
      </c>
      <c r="J409">
        <v>4</v>
      </c>
      <c r="K409" t="str">
        <f>_xlfn.XLOOKUP(B409,zones_lookup!A:A,zones_lookup!B:B,"Not found")</f>
        <v>Mrs. Johnson</v>
      </c>
      <c r="L409">
        <f>_xlfn.XLOOKUP(B409,zones_lookup!A:A,zones_lookup!C:C,"Not found")</f>
        <v>241000</v>
      </c>
    </row>
    <row r="410" spans="1:12" x14ac:dyDescent="0.3">
      <c r="A410" s="2">
        <v>45819</v>
      </c>
      <c r="B410" t="s">
        <v>108</v>
      </c>
      <c r="C410" t="s">
        <v>208</v>
      </c>
      <c r="D410">
        <v>6</v>
      </c>
      <c r="E410">
        <v>31</v>
      </c>
      <c r="F410">
        <v>218.6</v>
      </c>
      <c r="G410">
        <v>3</v>
      </c>
      <c r="H410">
        <v>6</v>
      </c>
      <c r="I410" t="s">
        <v>1667</v>
      </c>
      <c r="J410">
        <v>5.166666666666667</v>
      </c>
      <c r="K410" t="str">
        <f>_xlfn.XLOOKUP(B410,zones_lookup!A:A,zones_lookup!B:B,"Not found")</f>
        <v>Mrs. Okafor</v>
      </c>
      <c r="L410">
        <f>_xlfn.XLOOKUP(B410,zones_lookup!A:A,zones_lookup!C:C,"Not found")</f>
        <v>503000</v>
      </c>
    </row>
    <row r="411" spans="1:12" x14ac:dyDescent="0.3">
      <c r="A411" s="2">
        <v>45755</v>
      </c>
      <c r="B411" t="s">
        <v>27</v>
      </c>
      <c r="C411" t="s">
        <v>34</v>
      </c>
      <c r="D411">
        <v>6</v>
      </c>
      <c r="E411">
        <v>35.200000000000003</v>
      </c>
      <c r="F411">
        <v>201.4</v>
      </c>
      <c r="G411">
        <v>4</v>
      </c>
      <c r="H411">
        <v>4</v>
      </c>
      <c r="I411" t="s">
        <v>1668</v>
      </c>
      <c r="J411">
        <v>5.8666666666666671</v>
      </c>
      <c r="K411" t="str">
        <f>_xlfn.XLOOKUP(B411,zones_lookup!A:A,zones_lookup!B:B,"Not found")</f>
        <v>Mr. Bello</v>
      </c>
      <c r="L411">
        <f>_xlfn.XLOOKUP(B411,zones_lookup!A:A,zones_lookup!C:C,"Not found")</f>
        <v>1288000</v>
      </c>
    </row>
    <row r="412" spans="1:12" x14ac:dyDescent="0.3">
      <c r="A412" s="2">
        <v>45998</v>
      </c>
      <c r="B412" t="s">
        <v>60</v>
      </c>
      <c r="C412" t="s">
        <v>64</v>
      </c>
      <c r="D412">
        <v>3</v>
      </c>
      <c r="E412">
        <v>17.2</v>
      </c>
      <c r="F412">
        <v>100.8</v>
      </c>
      <c r="G412">
        <v>6</v>
      </c>
      <c r="H412">
        <v>12</v>
      </c>
      <c r="I412" t="s">
        <v>1671</v>
      </c>
      <c r="J412">
        <v>5.7333333333333334</v>
      </c>
      <c r="K412" t="str">
        <f>_xlfn.XLOOKUP(B412,zones_lookup!A:A,zones_lookup!B:B,"Not found")</f>
        <v>Mrs. Eze</v>
      </c>
      <c r="L412">
        <f>_xlfn.XLOOKUP(B412,zones_lookup!A:A,zones_lookup!C:C,"Not found")</f>
        <v>535000</v>
      </c>
    </row>
    <row r="413" spans="1:12" x14ac:dyDescent="0.3">
      <c r="A413" s="2">
        <v>45941</v>
      </c>
      <c r="B413" t="s">
        <v>41</v>
      </c>
      <c r="C413" t="s">
        <v>46</v>
      </c>
      <c r="D413">
        <v>2</v>
      </c>
      <c r="E413">
        <v>10.4</v>
      </c>
      <c r="F413">
        <v>72.099999999999994</v>
      </c>
      <c r="G413">
        <v>0</v>
      </c>
      <c r="H413">
        <v>10</v>
      </c>
      <c r="I413" t="s">
        <v>1669</v>
      </c>
      <c r="J413">
        <v>5.2</v>
      </c>
      <c r="K413" t="str">
        <f>_xlfn.XLOOKUP(B413,zones_lookup!A:A,zones_lookup!B:B,"Not found")</f>
        <v>Mrs. Adisa</v>
      </c>
      <c r="L413">
        <f>_xlfn.XLOOKUP(B413,zones_lookup!A:A,zones_lookup!C:C,"Not found")</f>
        <v>633000</v>
      </c>
    </row>
    <row r="414" spans="1:12" x14ac:dyDescent="0.3">
      <c r="A414" s="2">
        <v>45763</v>
      </c>
      <c r="B414" t="s">
        <v>76</v>
      </c>
      <c r="C414" t="s">
        <v>84</v>
      </c>
      <c r="D414">
        <v>4</v>
      </c>
      <c r="E414">
        <v>28.8</v>
      </c>
      <c r="F414">
        <v>163.80000000000001</v>
      </c>
      <c r="G414">
        <v>0</v>
      </c>
      <c r="H414">
        <v>4</v>
      </c>
      <c r="I414" t="s">
        <v>1668</v>
      </c>
      <c r="J414">
        <v>7.2</v>
      </c>
      <c r="K414" t="str">
        <f>_xlfn.XLOOKUP(B414,zones_lookup!A:A,zones_lookup!B:B,"Not found")</f>
        <v>Mr. Adeyemi</v>
      </c>
      <c r="L414">
        <f>_xlfn.XLOOKUP(B414,zones_lookup!A:A,zones_lookup!C:C,"Not found")</f>
        <v>313000</v>
      </c>
    </row>
    <row r="415" spans="1:12" x14ac:dyDescent="0.3">
      <c r="A415" s="2">
        <v>45894</v>
      </c>
      <c r="B415" t="s">
        <v>76</v>
      </c>
      <c r="C415" t="s">
        <v>84</v>
      </c>
      <c r="D415">
        <v>2</v>
      </c>
      <c r="E415">
        <v>10.3</v>
      </c>
      <c r="F415">
        <v>70.099999999999994</v>
      </c>
      <c r="G415">
        <v>1</v>
      </c>
      <c r="H415">
        <v>8</v>
      </c>
      <c r="I415" t="s">
        <v>1666</v>
      </c>
      <c r="J415">
        <v>5.15</v>
      </c>
      <c r="K415" t="str">
        <f>_xlfn.XLOOKUP(B415,zones_lookup!A:A,zones_lookup!B:B,"Not found")</f>
        <v>Mr. Adeyemi</v>
      </c>
      <c r="L415">
        <f>_xlfn.XLOOKUP(B415,zones_lookup!A:A,zones_lookup!C:C,"Not found")</f>
        <v>313000</v>
      </c>
    </row>
    <row r="416" spans="1:12" x14ac:dyDescent="0.3">
      <c r="A416" s="2">
        <v>45934</v>
      </c>
      <c r="B416" t="s">
        <v>49</v>
      </c>
      <c r="C416" t="s">
        <v>52</v>
      </c>
      <c r="D416">
        <v>6</v>
      </c>
      <c r="E416">
        <v>26.5</v>
      </c>
      <c r="F416">
        <v>201.7</v>
      </c>
      <c r="G416">
        <v>4</v>
      </c>
      <c r="H416">
        <v>10</v>
      </c>
      <c r="I416" t="s">
        <v>1669</v>
      </c>
      <c r="J416">
        <v>4.416666666666667</v>
      </c>
      <c r="K416" t="str">
        <f>_xlfn.XLOOKUP(B416,zones_lookup!A:A,zones_lookup!B:B,"Not found")</f>
        <v>Mrs. Johnson</v>
      </c>
      <c r="L416">
        <f>_xlfn.XLOOKUP(B416,zones_lookup!A:A,zones_lookup!C:C,"Not found")</f>
        <v>241000</v>
      </c>
    </row>
    <row r="417" spans="1:12" x14ac:dyDescent="0.3">
      <c r="A417" s="2">
        <v>45862</v>
      </c>
      <c r="B417" t="s">
        <v>27</v>
      </c>
      <c r="C417" t="s">
        <v>31</v>
      </c>
      <c r="D417">
        <v>2</v>
      </c>
      <c r="E417">
        <v>14.6</v>
      </c>
      <c r="F417">
        <v>80.2</v>
      </c>
      <c r="G417">
        <v>1</v>
      </c>
      <c r="H417">
        <v>7</v>
      </c>
      <c r="I417" t="s">
        <v>1661</v>
      </c>
      <c r="J417">
        <v>7.3</v>
      </c>
      <c r="K417" t="str">
        <f>_xlfn.XLOOKUP(B417,zones_lookup!A:A,zones_lookup!B:B,"Not found")</f>
        <v>Mr. Bello</v>
      </c>
      <c r="L417">
        <f>_xlfn.XLOOKUP(B417,zones_lookup!A:A,zones_lookup!C:C,"Not found")</f>
        <v>1288000</v>
      </c>
    </row>
    <row r="418" spans="1:12" x14ac:dyDescent="0.3">
      <c r="A418" s="2">
        <v>45877</v>
      </c>
      <c r="B418" t="s">
        <v>49</v>
      </c>
      <c r="C418" t="s">
        <v>52</v>
      </c>
      <c r="D418">
        <v>3</v>
      </c>
      <c r="E418">
        <v>11.9</v>
      </c>
      <c r="F418">
        <v>118.6</v>
      </c>
      <c r="G418">
        <v>3</v>
      </c>
      <c r="H418">
        <v>8</v>
      </c>
      <c r="I418" t="s">
        <v>1666</v>
      </c>
      <c r="J418">
        <v>3.9666666666666668</v>
      </c>
      <c r="K418" t="str">
        <f>_xlfn.XLOOKUP(B418,zones_lookup!A:A,zones_lookup!B:B,"Not found")</f>
        <v>Mrs. Johnson</v>
      </c>
      <c r="L418">
        <f>_xlfn.XLOOKUP(B418,zones_lookup!A:A,zones_lookup!C:C,"Not found")</f>
        <v>241000</v>
      </c>
    </row>
    <row r="419" spans="1:12" x14ac:dyDescent="0.3">
      <c r="A419" s="2">
        <v>45878</v>
      </c>
      <c r="B419" t="s">
        <v>93</v>
      </c>
      <c r="C419" t="s">
        <v>57</v>
      </c>
      <c r="D419">
        <v>3</v>
      </c>
      <c r="E419">
        <v>9.4</v>
      </c>
      <c r="F419">
        <v>112.6</v>
      </c>
      <c r="G419">
        <v>3</v>
      </c>
      <c r="H419">
        <v>8</v>
      </c>
      <c r="I419" t="s">
        <v>1666</v>
      </c>
      <c r="J419">
        <v>3.1333333333333333</v>
      </c>
      <c r="K419" t="str">
        <f>_xlfn.XLOOKUP(B419,zones_lookup!A:A,zones_lookup!B:B,"Not found")</f>
        <v>Mr. Ogunleye</v>
      </c>
      <c r="L419">
        <f>_xlfn.XLOOKUP(B419,zones_lookup!A:A,zones_lookup!C:C,"Not found")</f>
        <v>181000</v>
      </c>
    </row>
    <row r="420" spans="1:12" x14ac:dyDescent="0.3">
      <c r="A420" s="2">
        <v>45931</v>
      </c>
      <c r="B420" t="s">
        <v>27</v>
      </c>
      <c r="C420" t="s">
        <v>38</v>
      </c>
      <c r="D420">
        <v>2</v>
      </c>
      <c r="E420">
        <v>17.8</v>
      </c>
      <c r="F420">
        <v>74.099999999999994</v>
      </c>
      <c r="G420">
        <v>1</v>
      </c>
      <c r="H420">
        <v>10</v>
      </c>
      <c r="I420" t="s">
        <v>1669</v>
      </c>
      <c r="J420">
        <v>8.9</v>
      </c>
      <c r="K420" t="str">
        <f>_xlfn.XLOOKUP(B420,zones_lookup!A:A,zones_lookup!B:B,"Not found")</f>
        <v>Mr. Bello</v>
      </c>
      <c r="L420">
        <f>_xlfn.XLOOKUP(B420,zones_lookup!A:A,zones_lookup!C:C,"Not found")</f>
        <v>1288000</v>
      </c>
    </row>
    <row r="421" spans="1:12" x14ac:dyDescent="0.3">
      <c r="A421" s="2">
        <v>45815</v>
      </c>
      <c r="B421" t="s">
        <v>108</v>
      </c>
      <c r="C421" t="s">
        <v>109</v>
      </c>
      <c r="D421">
        <v>3</v>
      </c>
      <c r="E421">
        <v>16.5</v>
      </c>
      <c r="F421">
        <v>98.5</v>
      </c>
      <c r="G421">
        <v>1</v>
      </c>
      <c r="H421">
        <v>6</v>
      </c>
      <c r="I421" t="s">
        <v>1667</v>
      </c>
      <c r="J421">
        <v>5.5</v>
      </c>
      <c r="K421" t="str">
        <f>_xlfn.XLOOKUP(B421,zones_lookup!A:A,zones_lookup!B:B,"Not found")</f>
        <v>Mrs. Okafor</v>
      </c>
      <c r="L421">
        <f>_xlfn.XLOOKUP(B421,zones_lookup!A:A,zones_lookup!C:C,"Not found")</f>
        <v>503000</v>
      </c>
    </row>
    <row r="422" spans="1:12" x14ac:dyDescent="0.3">
      <c r="A422" s="2">
        <v>45962</v>
      </c>
      <c r="B422" t="s">
        <v>41</v>
      </c>
      <c r="C422" t="s">
        <v>46</v>
      </c>
      <c r="D422">
        <v>6</v>
      </c>
      <c r="E422">
        <v>45.9</v>
      </c>
      <c r="F422">
        <v>258.89999999999998</v>
      </c>
      <c r="G422">
        <v>1</v>
      </c>
      <c r="H422">
        <v>11</v>
      </c>
      <c r="I422" t="s">
        <v>1664</v>
      </c>
      <c r="J422">
        <v>7.6499999999999995</v>
      </c>
      <c r="K422" t="str">
        <f>_xlfn.XLOOKUP(B422,zones_lookup!A:A,zones_lookup!B:B,"Not found")</f>
        <v>Mrs. Adisa</v>
      </c>
      <c r="L422">
        <f>_xlfn.XLOOKUP(B422,zones_lookup!A:A,zones_lookup!C:C,"Not found")</f>
        <v>633000</v>
      </c>
    </row>
    <row r="423" spans="1:12" x14ac:dyDescent="0.3">
      <c r="A423" s="2">
        <v>45905</v>
      </c>
      <c r="B423" t="s">
        <v>76</v>
      </c>
      <c r="C423" t="s">
        <v>77</v>
      </c>
      <c r="D423">
        <v>6</v>
      </c>
      <c r="E423">
        <v>42</v>
      </c>
      <c r="F423">
        <v>185.9</v>
      </c>
      <c r="G423">
        <v>4</v>
      </c>
      <c r="H423">
        <v>9</v>
      </c>
      <c r="I423" t="s">
        <v>1670</v>
      </c>
      <c r="J423">
        <v>7</v>
      </c>
      <c r="K423" t="str">
        <f>_xlfn.XLOOKUP(B423,zones_lookup!A:A,zones_lookup!B:B,"Not found")</f>
        <v>Mr. Adeyemi</v>
      </c>
      <c r="L423">
        <f>_xlfn.XLOOKUP(B423,zones_lookup!A:A,zones_lookup!C:C,"Not found")</f>
        <v>313000</v>
      </c>
    </row>
    <row r="424" spans="1:12" x14ac:dyDescent="0.3">
      <c r="A424" s="2">
        <v>45811</v>
      </c>
      <c r="B424" t="s">
        <v>49</v>
      </c>
      <c r="C424" t="s">
        <v>50</v>
      </c>
      <c r="D424">
        <v>6</v>
      </c>
      <c r="E424">
        <v>19.100000000000001</v>
      </c>
      <c r="F424">
        <v>271.2</v>
      </c>
      <c r="G424">
        <v>1</v>
      </c>
      <c r="H424">
        <v>6</v>
      </c>
      <c r="I424" t="s">
        <v>1667</v>
      </c>
      <c r="J424">
        <v>3.1833333333333336</v>
      </c>
      <c r="K424" t="str">
        <f>_xlfn.XLOOKUP(B424,zones_lookup!A:A,zones_lookup!B:B,"Not found")</f>
        <v>Mrs. Johnson</v>
      </c>
      <c r="L424">
        <f>_xlfn.XLOOKUP(B424,zones_lookup!A:A,zones_lookup!C:C,"Not found")</f>
        <v>241000</v>
      </c>
    </row>
    <row r="425" spans="1:12" x14ac:dyDescent="0.3">
      <c r="A425" s="2">
        <v>46014</v>
      </c>
      <c r="B425" t="s">
        <v>60</v>
      </c>
      <c r="C425" t="s">
        <v>61</v>
      </c>
      <c r="D425">
        <v>6</v>
      </c>
      <c r="E425">
        <v>25.4</v>
      </c>
      <c r="F425">
        <v>214.2</v>
      </c>
      <c r="H425">
        <v>12</v>
      </c>
      <c r="I425" t="s">
        <v>1671</v>
      </c>
      <c r="J425">
        <v>4.2333333333333334</v>
      </c>
      <c r="K425" t="str">
        <f>_xlfn.XLOOKUP(B425,zones_lookup!A:A,zones_lookup!B:B,"Not found")</f>
        <v>Mrs. Eze</v>
      </c>
      <c r="L425">
        <f>_xlfn.XLOOKUP(B425,zones_lookup!A:A,zones_lookup!C:C,"Not found")</f>
        <v>535000</v>
      </c>
    </row>
    <row r="426" spans="1:12" x14ac:dyDescent="0.3">
      <c r="A426" s="2">
        <v>45744</v>
      </c>
      <c r="B426" t="s">
        <v>108</v>
      </c>
      <c r="C426" t="s">
        <v>169</v>
      </c>
      <c r="D426">
        <v>5</v>
      </c>
      <c r="E426">
        <v>32.9</v>
      </c>
      <c r="F426">
        <v>177.8</v>
      </c>
      <c r="G426">
        <v>1</v>
      </c>
      <c r="H426">
        <v>3</v>
      </c>
      <c r="I426" t="s">
        <v>1662</v>
      </c>
      <c r="J426">
        <v>6.58</v>
      </c>
      <c r="K426" t="str">
        <f>_xlfn.XLOOKUP(B426,zones_lookup!A:A,zones_lookup!B:B,"Not found")</f>
        <v>Mrs. Okafor</v>
      </c>
      <c r="L426">
        <f>_xlfn.XLOOKUP(B426,zones_lookup!A:A,zones_lookup!C:C,"Not found")</f>
        <v>503000</v>
      </c>
    </row>
    <row r="427" spans="1:12" x14ac:dyDescent="0.3">
      <c r="A427" s="2">
        <v>45708</v>
      </c>
      <c r="B427" t="s">
        <v>93</v>
      </c>
      <c r="C427" t="s">
        <v>101</v>
      </c>
      <c r="D427">
        <v>6</v>
      </c>
      <c r="F427">
        <v>247</v>
      </c>
      <c r="G427">
        <v>2</v>
      </c>
      <c r="H427">
        <v>2</v>
      </c>
      <c r="I427" t="s">
        <v>1665</v>
      </c>
      <c r="K427" t="str">
        <f>_xlfn.XLOOKUP(B427,zones_lookup!A:A,zones_lookup!B:B,"Not found")</f>
        <v>Mr. Ogunleye</v>
      </c>
      <c r="L427">
        <f>_xlfn.XLOOKUP(B427,zones_lookup!A:A,zones_lookup!C:C,"Not found")</f>
        <v>181000</v>
      </c>
    </row>
    <row r="428" spans="1:12" x14ac:dyDescent="0.3">
      <c r="A428" s="2">
        <v>46009</v>
      </c>
      <c r="B428" t="s">
        <v>76</v>
      </c>
      <c r="C428" t="s">
        <v>80</v>
      </c>
      <c r="D428">
        <v>5</v>
      </c>
      <c r="E428">
        <v>46.2</v>
      </c>
      <c r="F428">
        <v>222.2</v>
      </c>
      <c r="G428">
        <v>1</v>
      </c>
      <c r="H428">
        <v>12</v>
      </c>
      <c r="I428" t="s">
        <v>1671</v>
      </c>
      <c r="J428">
        <v>9.24</v>
      </c>
      <c r="K428" t="str">
        <f>_xlfn.XLOOKUP(B428,zones_lookup!A:A,zones_lookup!B:B,"Not found")</f>
        <v>Mr. Adeyemi</v>
      </c>
      <c r="L428">
        <f>_xlfn.XLOOKUP(B428,zones_lookup!A:A,zones_lookup!C:C,"Not found")</f>
        <v>313000</v>
      </c>
    </row>
    <row r="429" spans="1:12" x14ac:dyDescent="0.3">
      <c r="A429" s="2">
        <v>45778</v>
      </c>
      <c r="B429" t="s">
        <v>41</v>
      </c>
      <c r="C429" t="s">
        <v>42</v>
      </c>
      <c r="D429">
        <v>4</v>
      </c>
      <c r="E429">
        <v>27</v>
      </c>
      <c r="F429">
        <v>157.5</v>
      </c>
      <c r="G429">
        <v>2</v>
      </c>
      <c r="H429">
        <v>5</v>
      </c>
      <c r="I429" t="s">
        <v>1663</v>
      </c>
      <c r="J429">
        <v>6.75</v>
      </c>
      <c r="K429" t="str">
        <f>_xlfn.XLOOKUP(B429,zones_lookup!A:A,zones_lookup!B:B,"Not found")</f>
        <v>Mrs. Adisa</v>
      </c>
      <c r="L429">
        <f>_xlfn.XLOOKUP(B429,zones_lookup!A:A,zones_lookup!C:C,"Not found")</f>
        <v>633000</v>
      </c>
    </row>
    <row r="430" spans="1:12" x14ac:dyDescent="0.3">
      <c r="A430" s="2">
        <v>45823</v>
      </c>
      <c r="B430" t="s">
        <v>76</v>
      </c>
      <c r="C430" t="s">
        <v>77</v>
      </c>
      <c r="D430">
        <v>2</v>
      </c>
      <c r="E430">
        <v>13.7</v>
      </c>
      <c r="F430">
        <v>63.4</v>
      </c>
      <c r="G430">
        <v>2</v>
      </c>
      <c r="H430">
        <v>6</v>
      </c>
      <c r="I430" t="s">
        <v>1667</v>
      </c>
      <c r="J430">
        <v>6.85</v>
      </c>
      <c r="K430" t="str">
        <f>_xlfn.XLOOKUP(B430,zones_lookup!A:A,zones_lookup!B:B,"Not found")</f>
        <v>Mr. Adeyemi</v>
      </c>
      <c r="L430">
        <f>_xlfn.XLOOKUP(B430,zones_lookup!A:A,zones_lookup!C:C,"Not found")</f>
        <v>313000</v>
      </c>
    </row>
    <row r="431" spans="1:12" x14ac:dyDescent="0.3">
      <c r="A431" s="2">
        <v>45940</v>
      </c>
      <c r="B431" t="s">
        <v>76</v>
      </c>
      <c r="C431" t="s">
        <v>84</v>
      </c>
      <c r="D431">
        <v>2</v>
      </c>
      <c r="E431">
        <v>11.8</v>
      </c>
      <c r="F431">
        <v>78.099999999999994</v>
      </c>
      <c r="G431">
        <v>1</v>
      </c>
      <c r="H431">
        <v>10</v>
      </c>
      <c r="I431" t="s">
        <v>1669</v>
      </c>
      <c r="J431">
        <v>5.9</v>
      </c>
      <c r="K431" t="str">
        <f>_xlfn.XLOOKUP(B431,zones_lookup!A:A,zones_lookup!B:B,"Not found")</f>
        <v>Mr. Adeyemi</v>
      </c>
      <c r="L431">
        <f>_xlfn.XLOOKUP(B431,zones_lookup!A:A,zones_lookup!C:C,"Not found")</f>
        <v>313000</v>
      </c>
    </row>
    <row r="432" spans="1:12" x14ac:dyDescent="0.3">
      <c r="A432" s="2">
        <v>45732</v>
      </c>
      <c r="B432" t="s">
        <v>41</v>
      </c>
      <c r="C432" t="s">
        <v>46</v>
      </c>
      <c r="D432">
        <v>3</v>
      </c>
      <c r="E432">
        <v>20.399999999999999</v>
      </c>
      <c r="F432">
        <v>104.1</v>
      </c>
      <c r="G432">
        <v>2</v>
      </c>
      <c r="H432">
        <v>3</v>
      </c>
      <c r="I432" t="s">
        <v>1662</v>
      </c>
      <c r="J432">
        <v>6.8</v>
      </c>
      <c r="K432" t="str">
        <f>_xlfn.XLOOKUP(B432,zones_lookup!A:A,zones_lookup!B:B,"Not found")</f>
        <v>Mrs. Adisa</v>
      </c>
      <c r="L432">
        <f>_xlfn.XLOOKUP(B432,zones_lookup!A:A,zones_lookup!C:C,"Not found")</f>
        <v>633000</v>
      </c>
    </row>
    <row r="433" spans="1:12" x14ac:dyDescent="0.3">
      <c r="A433" s="2">
        <v>45763</v>
      </c>
      <c r="B433" t="s">
        <v>93</v>
      </c>
      <c r="C433" t="s">
        <v>101</v>
      </c>
      <c r="D433">
        <v>4</v>
      </c>
      <c r="E433">
        <v>13.5</v>
      </c>
      <c r="F433">
        <v>168.5</v>
      </c>
      <c r="G433">
        <v>3</v>
      </c>
      <c r="H433">
        <v>4</v>
      </c>
      <c r="I433" t="s">
        <v>1668</v>
      </c>
      <c r="J433">
        <v>3.375</v>
      </c>
      <c r="K433" t="str">
        <f>_xlfn.XLOOKUP(B433,zones_lookup!A:A,zones_lookup!B:B,"Not found")</f>
        <v>Mr. Ogunleye</v>
      </c>
      <c r="L433">
        <f>_xlfn.XLOOKUP(B433,zones_lookup!A:A,zones_lookup!C:C,"Not found")</f>
        <v>181000</v>
      </c>
    </row>
    <row r="434" spans="1:12" x14ac:dyDescent="0.3">
      <c r="A434" s="2">
        <v>45902</v>
      </c>
      <c r="B434" t="s">
        <v>41</v>
      </c>
      <c r="C434" t="s">
        <v>42</v>
      </c>
      <c r="D434">
        <v>4</v>
      </c>
      <c r="E434">
        <v>25.1</v>
      </c>
      <c r="F434">
        <v>153</v>
      </c>
      <c r="G434">
        <v>0</v>
      </c>
      <c r="H434">
        <v>9</v>
      </c>
      <c r="I434" t="s">
        <v>1670</v>
      </c>
      <c r="J434">
        <v>6.2750000000000004</v>
      </c>
      <c r="K434" t="str">
        <f>_xlfn.XLOOKUP(B434,zones_lookup!A:A,zones_lookup!B:B,"Not found")</f>
        <v>Mrs. Adisa</v>
      </c>
      <c r="L434">
        <f>_xlfn.XLOOKUP(B434,zones_lookup!A:A,zones_lookup!C:C,"Not found")</f>
        <v>633000</v>
      </c>
    </row>
    <row r="435" spans="1:12" x14ac:dyDescent="0.3">
      <c r="A435" s="2">
        <v>45746</v>
      </c>
      <c r="B435" t="s">
        <v>41</v>
      </c>
      <c r="C435" t="s">
        <v>46</v>
      </c>
      <c r="D435">
        <v>6</v>
      </c>
      <c r="E435">
        <v>48</v>
      </c>
      <c r="F435">
        <v>233.5</v>
      </c>
      <c r="G435">
        <v>2</v>
      </c>
      <c r="H435">
        <v>3</v>
      </c>
      <c r="I435" t="s">
        <v>1662</v>
      </c>
      <c r="J435">
        <v>8</v>
      </c>
      <c r="K435" t="str">
        <f>_xlfn.XLOOKUP(B435,zones_lookup!A:A,zones_lookup!B:B,"Not found")</f>
        <v>Mrs. Adisa</v>
      </c>
      <c r="L435">
        <f>_xlfn.XLOOKUP(B435,zones_lookup!A:A,zones_lookup!C:C,"Not found")</f>
        <v>633000</v>
      </c>
    </row>
    <row r="436" spans="1:12" x14ac:dyDescent="0.3">
      <c r="A436" s="2">
        <v>45823</v>
      </c>
      <c r="B436" t="s">
        <v>108</v>
      </c>
      <c r="C436" t="s">
        <v>169</v>
      </c>
      <c r="D436">
        <v>4</v>
      </c>
      <c r="E436">
        <v>21.2</v>
      </c>
      <c r="F436">
        <v>107.9</v>
      </c>
      <c r="G436">
        <v>1</v>
      </c>
      <c r="H436">
        <v>6</v>
      </c>
      <c r="I436" t="s">
        <v>1667</v>
      </c>
      <c r="J436">
        <v>5.3</v>
      </c>
      <c r="K436" t="str">
        <f>_xlfn.XLOOKUP(B436,zones_lookup!A:A,zones_lookup!B:B,"Not found")</f>
        <v>Mrs. Okafor</v>
      </c>
      <c r="L436">
        <f>_xlfn.XLOOKUP(B436,zones_lookup!A:A,zones_lookup!C:C,"Not found")</f>
        <v>503000</v>
      </c>
    </row>
    <row r="437" spans="1:12" x14ac:dyDescent="0.3">
      <c r="A437" s="2">
        <v>45930</v>
      </c>
      <c r="B437" t="s">
        <v>108</v>
      </c>
      <c r="C437" t="s">
        <v>169</v>
      </c>
      <c r="D437">
        <v>2</v>
      </c>
      <c r="E437">
        <v>12.8</v>
      </c>
      <c r="F437">
        <v>73.400000000000006</v>
      </c>
      <c r="G437">
        <v>1</v>
      </c>
      <c r="H437">
        <v>9</v>
      </c>
      <c r="I437" t="s">
        <v>1670</v>
      </c>
      <c r="J437">
        <v>6.4</v>
      </c>
      <c r="K437" t="str">
        <f>_xlfn.XLOOKUP(B437,zones_lookup!A:A,zones_lookup!B:B,"Not found")</f>
        <v>Mrs. Okafor</v>
      </c>
      <c r="L437">
        <f>_xlfn.XLOOKUP(B437,zones_lookup!A:A,zones_lookup!C:C,"Not found")</f>
        <v>503000</v>
      </c>
    </row>
    <row r="438" spans="1:12" x14ac:dyDescent="0.3">
      <c r="A438" s="2">
        <v>45998</v>
      </c>
      <c r="B438" t="s">
        <v>89</v>
      </c>
      <c r="C438" t="s">
        <v>90</v>
      </c>
      <c r="D438">
        <v>6</v>
      </c>
      <c r="E438">
        <v>43.1</v>
      </c>
      <c r="F438">
        <v>241.2</v>
      </c>
      <c r="G438">
        <v>1</v>
      </c>
      <c r="H438">
        <v>12</v>
      </c>
      <c r="I438" t="s">
        <v>1671</v>
      </c>
      <c r="J438">
        <v>7.1833333333333336</v>
      </c>
      <c r="K438" t="str">
        <f>_xlfn.XLOOKUP(B438,zones_lookup!A:A,zones_lookup!B:B,"Not found")</f>
        <v>Mr. Salami</v>
      </c>
      <c r="L438">
        <f>_xlfn.XLOOKUP(B438,zones_lookup!A:A,zones_lookup!C:C,"Not found")</f>
        <v>200000</v>
      </c>
    </row>
    <row r="439" spans="1:12" x14ac:dyDescent="0.3">
      <c r="A439" s="2">
        <v>46009</v>
      </c>
      <c r="B439" t="s">
        <v>93</v>
      </c>
      <c r="C439" t="s">
        <v>57</v>
      </c>
      <c r="D439">
        <v>5</v>
      </c>
      <c r="E439">
        <v>28.1</v>
      </c>
      <c r="F439">
        <v>187.7</v>
      </c>
      <c r="G439">
        <v>4</v>
      </c>
      <c r="H439">
        <v>12</v>
      </c>
      <c r="I439" t="s">
        <v>1671</v>
      </c>
      <c r="J439">
        <v>5.62</v>
      </c>
      <c r="K439" t="str">
        <f>_xlfn.XLOOKUP(B439,zones_lookup!A:A,zones_lookup!B:B,"Not found")</f>
        <v>Mr. Ogunleye</v>
      </c>
      <c r="L439">
        <f>_xlfn.XLOOKUP(B439,zones_lookup!A:A,zones_lookup!C:C,"Not found")</f>
        <v>181000</v>
      </c>
    </row>
    <row r="440" spans="1:12" x14ac:dyDescent="0.3">
      <c r="A440" s="2">
        <v>45764</v>
      </c>
      <c r="B440" t="s">
        <v>27</v>
      </c>
      <c r="C440" t="s">
        <v>28</v>
      </c>
      <c r="D440">
        <v>6</v>
      </c>
      <c r="E440">
        <v>50.5</v>
      </c>
      <c r="F440">
        <v>237.3</v>
      </c>
      <c r="G440">
        <v>3</v>
      </c>
      <c r="H440">
        <v>4</v>
      </c>
      <c r="I440" t="s">
        <v>1668</v>
      </c>
      <c r="J440">
        <v>8.4166666666666661</v>
      </c>
      <c r="K440" t="str">
        <f>_xlfn.XLOOKUP(B440,zones_lookup!A:A,zones_lookup!B:B,"Not found")</f>
        <v>Mr. Bello</v>
      </c>
      <c r="L440">
        <f>_xlfn.XLOOKUP(B440,zones_lookup!A:A,zones_lookup!C:C,"Not found")</f>
        <v>1288000</v>
      </c>
    </row>
    <row r="441" spans="1:12" x14ac:dyDescent="0.3">
      <c r="A441" s="2">
        <v>45903</v>
      </c>
      <c r="B441" t="s">
        <v>93</v>
      </c>
      <c r="C441" t="s">
        <v>57</v>
      </c>
      <c r="D441">
        <v>6</v>
      </c>
      <c r="E441">
        <v>20.6</v>
      </c>
      <c r="F441">
        <v>242.6</v>
      </c>
      <c r="G441">
        <v>2</v>
      </c>
      <c r="H441">
        <v>9</v>
      </c>
      <c r="I441" t="s">
        <v>1670</v>
      </c>
      <c r="J441">
        <v>3.4333333333333336</v>
      </c>
      <c r="K441" t="str">
        <f>_xlfn.XLOOKUP(B441,zones_lookup!A:A,zones_lookup!B:B,"Not found")</f>
        <v>Mr. Ogunleye</v>
      </c>
      <c r="L441">
        <f>_xlfn.XLOOKUP(B441,zones_lookup!A:A,zones_lookup!C:C,"Not found")</f>
        <v>181000</v>
      </c>
    </row>
    <row r="442" spans="1:12" x14ac:dyDescent="0.3">
      <c r="A442" s="2">
        <v>45744</v>
      </c>
      <c r="B442" t="s">
        <v>76</v>
      </c>
      <c r="C442" t="s">
        <v>84</v>
      </c>
      <c r="D442">
        <v>4</v>
      </c>
      <c r="E442">
        <v>25.9</v>
      </c>
      <c r="F442">
        <v>142.19999999999999</v>
      </c>
      <c r="G442">
        <v>2</v>
      </c>
      <c r="H442">
        <v>3</v>
      </c>
      <c r="I442" t="s">
        <v>1662</v>
      </c>
      <c r="J442">
        <v>6.4749999999999996</v>
      </c>
      <c r="K442" t="str">
        <f>_xlfn.XLOOKUP(B442,zones_lookup!A:A,zones_lookup!B:B,"Not found")</f>
        <v>Mr. Adeyemi</v>
      </c>
      <c r="L442">
        <f>_xlfn.XLOOKUP(B442,zones_lookup!A:A,zones_lookup!C:C,"Not found")</f>
        <v>313000</v>
      </c>
    </row>
    <row r="443" spans="1:12" x14ac:dyDescent="0.3">
      <c r="A443" s="2">
        <v>45672</v>
      </c>
      <c r="B443" t="s">
        <v>89</v>
      </c>
      <c r="C443" t="s">
        <v>90</v>
      </c>
      <c r="D443">
        <v>6</v>
      </c>
      <c r="E443">
        <v>33.799999999999997</v>
      </c>
      <c r="F443">
        <v>221.5</v>
      </c>
      <c r="G443">
        <v>3</v>
      </c>
      <c r="H443">
        <v>1</v>
      </c>
      <c r="I443" t="s">
        <v>1660</v>
      </c>
      <c r="J443">
        <v>5.6333333333333329</v>
      </c>
      <c r="K443" t="str">
        <f>_xlfn.XLOOKUP(B443,zones_lookup!A:A,zones_lookup!B:B,"Not found")</f>
        <v>Mr. Salami</v>
      </c>
      <c r="L443">
        <f>_xlfn.XLOOKUP(B443,zones_lookup!A:A,zones_lookup!C:C,"Not found")</f>
        <v>200000</v>
      </c>
    </row>
    <row r="444" spans="1:12" x14ac:dyDescent="0.3">
      <c r="A444" s="2">
        <v>45814</v>
      </c>
      <c r="B444" t="s">
        <v>76</v>
      </c>
      <c r="C444" t="s">
        <v>80</v>
      </c>
      <c r="D444">
        <v>6</v>
      </c>
      <c r="E444">
        <v>38.299999999999997</v>
      </c>
      <c r="F444">
        <v>221.4</v>
      </c>
      <c r="G444">
        <v>1</v>
      </c>
      <c r="H444">
        <v>6</v>
      </c>
      <c r="I444" t="s">
        <v>1667</v>
      </c>
      <c r="J444">
        <v>6.3833333333333329</v>
      </c>
      <c r="K444" t="str">
        <f>_xlfn.XLOOKUP(B444,zones_lookup!A:A,zones_lookup!B:B,"Not found")</f>
        <v>Mr. Adeyemi</v>
      </c>
      <c r="L444">
        <f>_xlfn.XLOOKUP(B444,zones_lookup!A:A,zones_lookup!C:C,"Not found")</f>
        <v>313000</v>
      </c>
    </row>
    <row r="445" spans="1:12" x14ac:dyDescent="0.3">
      <c r="A445" s="2">
        <v>45837</v>
      </c>
      <c r="B445" t="s">
        <v>93</v>
      </c>
      <c r="C445" t="s">
        <v>57</v>
      </c>
      <c r="D445">
        <v>6</v>
      </c>
      <c r="E445">
        <v>21.8</v>
      </c>
      <c r="F445">
        <v>264.5</v>
      </c>
      <c r="G445">
        <v>3</v>
      </c>
      <c r="H445">
        <v>6</v>
      </c>
      <c r="I445" t="s">
        <v>1667</v>
      </c>
      <c r="J445">
        <v>3.6333333333333333</v>
      </c>
      <c r="K445" t="str">
        <f>_xlfn.XLOOKUP(B445,zones_lookup!A:A,zones_lookup!B:B,"Not found")</f>
        <v>Mr. Ogunleye</v>
      </c>
      <c r="L445">
        <f>_xlfn.XLOOKUP(B445,zones_lookup!A:A,zones_lookup!C:C,"Not found")</f>
        <v>181000</v>
      </c>
    </row>
    <row r="446" spans="1:12" x14ac:dyDescent="0.3">
      <c r="A446" s="2">
        <v>45933</v>
      </c>
      <c r="B446" t="s">
        <v>27</v>
      </c>
      <c r="C446" t="s">
        <v>34</v>
      </c>
      <c r="D446">
        <v>6</v>
      </c>
      <c r="E446">
        <v>43.6</v>
      </c>
      <c r="F446">
        <v>212.8</v>
      </c>
      <c r="G446">
        <v>2</v>
      </c>
      <c r="H446">
        <v>10</v>
      </c>
      <c r="I446" t="s">
        <v>1669</v>
      </c>
      <c r="J446">
        <v>7.2666666666666666</v>
      </c>
      <c r="K446" t="str">
        <f>_xlfn.XLOOKUP(B446,zones_lookup!A:A,zones_lookup!B:B,"Not found")</f>
        <v>Mr. Bello</v>
      </c>
      <c r="L446">
        <f>_xlfn.XLOOKUP(B446,zones_lookup!A:A,zones_lookup!C:C,"Not found")</f>
        <v>1288000</v>
      </c>
    </row>
    <row r="447" spans="1:12" x14ac:dyDescent="0.3">
      <c r="A447" s="2">
        <v>45772</v>
      </c>
      <c r="B447" t="s">
        <v>89</v>
      </c>
      <c r="C447" t="s">
        <v>131</v>
      </c>
      <c r="D447">
        <v>3</v>
      </c>
      <c r="E447">
        <v>16.899999999999999</v>
      </c>
      <c r="F447">
        <v>129</v>
      </c>
      <c r="G447">
        <v>1</v>
      </c>
      <c r="H447">
        <v>4</v>
      </c>
      <c r="I447" t="s">
        <v>1668</v>
      </c>
      <c r="J447">
        <v>5.6333333333333329</v>
      </c>
      <c r="K447" t="str">
        <f>_xlfn.XLOOKUP(B447,zones_lookup!A:A,zones_lookup!B:B,"Not found")</f>
        <v>Mr. Salami</v>
      </c>
      <c r="L447">
        <f>_xlfn.XLOOKUP(B447,zones_lookup!A:A,zones_lookup!C:C,"Not found")</f>
        <v>200000</v>
      </c>
    </row>
    <row r="448" spans="1:12" x14ac:dyDescent="0.3">
      <c r="A448" s="2">
        <v>45708</v>
      </c>
      <c r="B448" t="s">
        <v>49</v>
      </c>
      <c r="C448" t="s">
        <v>52</v>
      </c>
      <c r="D448">
        <v>3</v>
      </c>
      <c r="E448">
        <v>12.3</v>
      </c>
      <c r="F448">
        <v>111.6</v>
      </c>
      <c r="G448">
        <v>2</v>
      </c>
      <c r="H448">
        <v>2</v>
      </c>
      <c r="I448" t="s">
        <v>1665</v>
      </c>
      <c r="J448">
        <v>4.1000000000000005</v>
      </c>
      <c r="K448" t="str">
        <f>_xlfn.XLOOKUP(B448,zones_lookup!A:A,zones_lookup!B:B,"Not found")</f>
        <v>Mrs. Johnson</v>
      </c>
      <c r="L448">
        <f>_xlfn.XLOOKUP(B448,zones_lookup!A:A,zones_lookup!C:C,"Not found")</f>
        <v>241000</v>
      </c>
    </row>
    <row r="449" spans="1:12" x14ac:dyDescent="0.3">
      <c r="A449" s="2">
        <v>45845</v>
      </c>
      <c r="B449" t="s">
        <v>49</v>
      </c>
      <c r="C449" t="s">
        <v>52</v>
      </c>
      <c r="D449">
        <v>3</v>
      </c>
      <c r="E449">
        <v>12</v>
      </c>
      <c r="F449">
        <v>106</v>
      </c>
      <c r="G449">
        <v>4</v>
      </c>
      <c r="H449">
        <v>7</v>
      </c>
      <c r="I449" t="s">
        <v>1661</v>
      </c>
      <c r="J449">
        <v>4</v>
      </c>
      <c r="K449" t="str">
        <f>_xlfn.XLOOKUP(B449,zones_lookup!A:A,zones_lookup!B:B,"Not found")</f>
        <v>Mrs. Johnson</v>
      </c>
      <c r="L449">
        <f>_xlfn.XLOOKUP(B449,zones_lookup!A:A,zones_lookup!C:C,"Not found")</f>
        <v>241000</v>
      </c>
    </row>
    <row r="450" spans="1:12" x14ac:dyDescent="0.3">
      <c r="A450" s="2">
        <v>45851</v>
      </c>
      <c r="B450" t="s">
        <v>60</v>
      </c>
      <c r="C450" t="s">
        <v>61</v>
      </c>
      <c r="D450">
        <v>3</v>
      </c>
      <c r="E450">
        <v>11.6</v>
      </c>
      <c r="F450">
        <v>115.1</v>
      </c>
      <c r="G450">
        <v>2</v>
      </c>
      <c r="H450">
        <v>7</v>
      </c>
      <c r="I450" t="s">
        <v>1661</v>
      </c>
      <c r="J450">
        <v>3.8666666666666667</v>
      </c>
      <c r="K450" t="str">
        <f>_xlfn.XLOOKUP(B450,zones_lookup!A:A,zones_lookup!B:B,"Not found")</f>
        <v>Mrs. Eze</v>
      </c>
      <c r="L450">
        <f>_xlfn.XLOOKUP(B450,zones_lookup!A:A,zones_lookup!C:C,"Not found")</f>
        <v>535000</v>
      </c>
    </row>
    <row r="451" spans="1:12" x14ac:dyDescent="0.3">
      <c r="A451" s="2">
        <v>45689</v>
      </c>
      <c r="B451" t="s">
        <v>93</v>
      </c>
      <c r="C451" t="s">
        <v>101</v>
      </c>
      <c r="D451">
        <v>2</v>
      </c>
      <c r="E451">
        <v>7.5</v>
      </c>
      <c r="F451">
        <v>75.5</v>
      </c>
      <c r="G451">
        <v>0</v>
      </c>
      <c r="H451">
        <v>2</v>
      </c>
      <c r="I451" t="s">
        <v>1665</v>
      </c>
      <c r="J451">
        <v>3.75</v>
      </c>
      <c r="K451" t="str">
        <f>_xlfn.XLOOKUP(B451,zones_lookup!A:A,zones_lookup!B:B,"Not found")</f>
        <v>Mr. Ogunleye</v>
      </c>
      <c r="L451">
        <f>_xlfn.XLOOKUP(B451,zones_lookup!A:A,zones_lookup!C:C,"Not found")</f>
        <v>181000</v>
      </c>
    </row>
    <row r="452" spans="1:12" x14ac:dyDescent="0.3">
      <c r="A452" s="2">
        <v>45909</v>
      </c>
      <c r="B452" t="s">
        <v>60</v>
      </c>
      <c r="C452" t="s">
        <v>69</v>
      </c>
      <c r="D452">
        <v>5</v>
      </c>
      <c r="E452">
        <v>19.8</v>
      </c>
      <c r="F452">
        <v>209.5</v>
      </c>
      <c r="G452">
        <v>5</v>
      </c>
      <c r="H452">
        <v>9</v>
      </c>
      <c r="I452" t="s">
        <v>1670</v>
      </c>
      <c r="J452">
        <v>3.96</v>
      </c>
      <c r="K452" t="str">
        <f>_xlfn.XLOOKUP(B452,zones_lookup!A:A,zones_lookup!B:B,"Not found")</f>
        <v>Mrs. Eze</v>
      </c>
      <c r="L452">
        <f>_xlfn.XLOOKUP(B452,zones_lookup!A:A,zones_lookup!C:C,"Not found")</f>
        <v>535000</v>
      </c>
    </row>
    <row r="453" spans="1:12" x14ac:dyDescent="0.3">
      <c r="A453" s="2">
        <v>45670</v>
      </c>
      <c r="B453" t="s">
        <v>76</v>
      </c>
      <c r="C453" t="s">
        <v>77</v>
      </c>
      <c r="D453">
        <v>3</v>
      </c>
      <c r="E453">
        <v>21.3</v>
      </c>
      <c r="F453">
        <v>121.4</v>
      </c>
      <c r="G453">
        <v>1</v>
      </c>
      <c r="H453">
        <v>1</v>
      </c>
      <c r="I453" t="s">
        <v>1660</v>
      </c>
      <c r="J453">
        <v>7.1000000000000005</v>
      </c>
      <c r="K453" t="str">
        <f>_xlfn.XLOOKUP(B453,zones_lookup!A:A,zones_lookup!B:B,"Not found")</f>
        <v>Mr. Adeyemi</v>
      </c>
      <c r="L453">
        <f>_xlfn.XLOOKUP(B453,zones_lookup!A:A,zones_lookup!C:C,"Not found")</f>
        <v>313000</v>
      </c>
    </row>
    <row r="454" spans="1:12" x14ac:dyDescent="0.3">
      <c r="A454" s="2">
        <v>45985</v>
      </c>
      <c r="B454" t="s">
        <v>27</v>
      </c>
      <c r="C454" t="s">
        <v>28</v>
      </c>
      <c r="D454">
        <v>4</v>
      </c>
      <c r="E454">
        <v>34.1</v>
      </c>
      <c r="F454">
        <v>144.30000000000001</v>
      </c>
      <c r="G454">
        <v>0</v>
      </c>
      <c r="H454">
        <v>11</v>
      </c>
      <c r="I454" t="s">
        <v>1664</v>
      </c>
      <c r="J454">
        <v>8.5250000000000004</v>
      </c>
      <c r="K454" t="str">
        <f>_xlfn.XLOOKUP(B454,zones_lookup!A:A,zones_lookup!B:B,"Not found")</f>
        <v>Mr. Bello</v>
      </c>
      <c r="L454">
        <f>_xlfn.XLOOKUP(B454,zones_lookup!A:A,zones_lookup!C:C,"Not found")</f>
        <v>1288000</v>
      </c>
    </row>
    <row r="455" spans="1:12" x14ac:dyDescent="0.3">
      <c r="A455" s="2">
        <v>45813</v>
      </c>
      <c r="B455" t="s">
        <v>76</v>
      </c>
      <c r="C455" t="s">
        <v>77</v>
      </c>
      <c r="D455">
        <v>3</v>
      </c>
      <c r="E455">
        <v>20.7</v>
      </c>
      <c r="F455">
        <v>96.2</v>
      </c>
      <c r="G455">
        <v>0</v>
      </c>
      <c r="H455">
        <v>6</v>
      </c>
      <c r="I455" t="s">
        <v>1667</v>
      </c>
      <c r="J455">
        <v>6.8999999999999995</v>
      </c>
      <c r="K455" t="str">
        <f>_xlfn.XLOOKUP(B455,zones_lookup!A:A,zones_lookup!B:B,"Not found")</f>
        <v>Mr. Adeyemi</v>
      </c>
      <c r="L455">
        <f>_xlfn.XLOOKUP(B455,zones_lookup!A:A,zones_lookup!C:C,"Not found")</f>
        <v>313000</v>
      </c>
    </row>
    <row r="456" spans="1:12" x14ac:dyDescent="0.3">
      <c r="A456" s="2">
        <v>45985</v>
      </c>
      <c r="B456" t="s">
        <v>89</v>
      </c>
      <c r="C456" t="s">
        <v>90</v>
      </c>
      <c r="D456">
        <v>2</v>
      </c>
      <c r="E456">
        <v>11.8</v>
      </c>
      <c r="F456">
        <v>65.2</v>
      </c>
      <c r="G456">
        <v>0</v>
      </c>
      <c r="H456">
        <v>11</v>
      </c>
      <c r="I456" t="s">
        <v>1664</v>
      </c>
      <c r="J456">
        <v>5.9</v>
      </c>
      <c r="K456" t="str">
        <f>_xlfn.XLOOKUP(B456,zones_lookup!A:A,zones_lookup!B:B,"Not found")</f>
        <v>Mr. Salami</v>
      </c>
      <c r="L456">
        <f>_xlfn.XLOOKUP(B456,zones_lookup!A:A,zones_lookup!C:C,"Not found")</f>
        <v>200000</v>
      </c>
    </row>
    <row r="457" spans="1:12" x14ac:dyDescent="0.3">
      <c r="A457" s="2">
        <v>45854</v>
      </c>
      <c r="B457" t="s">
        <v>60</v>
      </c>
      <c r="C457" t="s">
        <v>61</v>
      </c>
      <c r="D457">
        <v>3</v>
      </c>
      <c r="E457">
        <v>13</v>
      </c>
      <c r="F457">
        <v>122.8</v>
      </c>
      <c r="G457">
        <v>0</v>
      </c>
      <c r="H457">
        <v>7</v>
      </c>
      <c r="I457" t="s">
        <v>1661</v>
      </c>
      <c r="J457">
        <v>4.333333333333333</v>
      </c>
      <c r="K457" t="str">
        <f>_xlfn.XLOOKUP(B457,zones_lookup!A:A,zones_lookup!B:B,"Not found")</f>
        <v>Mrs. Eze</v>
      </c>
      <c r="L457">
        <f>_xlfn.XLOOKUP(B457,zones_lookup!A:A,zones_lookup!C:C,"Not found")</f>
        <v>535000</v>
      </c>
    </row>
    <row r="458" spans="1:12" x14ac:dyDescent="0.3">
      <c r="A458" s="2">
        <v>45960</v>
      </c>
      <c r="B458" t="s">
        <v>41</v>
      </c>
      <c r="C458" t="s">
        <v>46</v>
      </c>
      <c r="D458">
        <v>2</v>
      </c>
      <c r="E458">
        <v>13.7</v>
      </c>
      <c r="F458">
        <v>74.3</v>
      </c>
      <c r="G458">
        <v>1</v>
      </c>
      <c r="H458">
        <v>10</v>
      </c>
      <c r="I458" t="s">
        <v>1669</v>
      </c>
      <c r="J458">
        <v>6.85</v>
      </c>
      <c r="K458" t="str">
        <f>_xlfn.XLOOKUP(B458,zones_lookup!A:A,zones_lookup!B:B,"Not found")</f>
        <v>Mrs. Adisa</v>
      </c>
      <c r="L458">
        <f>_xlfn.XLOOKUP(B458,zones_lookup!A:A,zones_lookup!C:C,"Not found")</f>
        <v>633000</v>
      </c>
    </row>
    <row r="459" spans="1:12" x14ac:dyDescent="0.3">
      <c r="A459" s="2">
        <v>45659</v>
      </c>
      <c r="B459" t="s">
        <v>76</v>
      </c>
      <c r="C459" t="s">
        <v>84</v>
      </c>
      <c r="D459">
        <v>2</v>
      </c>
      <c r="E459">
        <v>9.9</v>
      </c>
      <c r="F459">
        <v>63</v>
      </c>
      <c r="G459">
        <v>0</v>
      </c>
      <c r="H459">
        <v>1</v>
      </c>
      <c r="I459" t="s">
        <v>1660</v>
      </c>
      <c r="J459">
        <v>4.95</v>
      </c>
      <c r="K459" t="str">
        <f>_xlfn.XLOOKUP(B459,zones_lookup!A:A,zones_lookup!B:B,"Not found")</f>
        <v>Mr. Adeyemi</v>
      </c>
      <c r="L459">
        <f>_xlfn.XLOOKUP(B459,zones_lookup!A:A,zones_lookup!C:C,"Not found")</f>
        <v>313000</v>
      </c>
    </row>
    <row r="460" spans="1:12" x14ac:dyDescent="0.3">
      <c r="A460" s="2">
        <v>45777</v>
      </c>
      <c r="B460" t="s">
        <v>41</v>
      </c>
      <c r="C460" t="s">
        <v>42</v>
      </c>
      <c r="D460">
        <v>6</v>
      </c>
      <c r="E460">
        <v>41.4</v>
      </c>
      <c r="G460">
        <v>4</v>
      </c>
      <c r="H460">
        <v>4</v>
      </c>
      <c r="I460" t="s">
        <v>1668</v>
      </c>
      <c r="J460">
        <v>6.8999999999999995</v>
      </c>
      <c r="K460" t="str">
        <f>_xlfn.XLOOKUP(B460,zones_lookup!A:A,zones_lookup!B:B,"Not found")</f>
        <v>Mrs. Adisa</v>
      </c>
      <c r="L460">
        <f>_xlfn.XLOOKUP(B460,zones_lookup!A:A,zones_lookup!C:C,"Not found")</f>
        <v>633000</v>
      </c>
    </row>
    <row r="461" spans="1:12" x14ac:dyDescent="0.3">
      <c r="A461" s="2">
        <v>45851</v>
      </c>
      <c r="B461" t="s">
        <v>89</v>
      </c>
      <c r="C461" t="s">
        <v>131</v>
      </c>
      <c r="D461">
        <v>4</v>
      </c>
      <c r="E461">
        <v>21.4</v>
      </c>
      <c r="F461">
        <v>178.2</v>
      </c>
      <c r="G461">
        <v>3</v>
      </c>
      <c r="H461">
        <v>7</v>
      </c>
      <c r="I461" t="s">
        <v>1661</v>
      </c>
      <c r="J461">
        <v>5.35</v>
      </c>
      <c r="K461" t="str">
        <f>_xlfn.XLOOKUP(B461,zones_lookup!A:A,zones_lookup!B:B,"Not found")</f>
        <v>Mr. Salami</v>
      </c>
      <c r="L461">
        <f>_xlfn.XLOOKUP(B461,zones_lookup!A:A,zones_lookup!C:C,"Not found")</f>
        <v>200000</v>
      </c>
    </row>
    <row r="462" spans="1:12" x14ac:dyDescent="0.3">
      <c r="A462" s="2">
        <v>45981</v>
      </c>
      <c r="B462" t="s">
        <v>108</v>
      </c>
      <c r="C462" t="s">
        <v>109</v>
      </c>
      <c r="D462">
        <v>4</v>
      </c>
      <c r="E462">
        <v>26.2</v>
      </c>
      <c r="F462">
        <v>157.19999999999999</v>
      </c>
      <c r="G462">
        <v>2</v>
      </c>
      <c r="H462">
        <v>11</v>
      </c>
      <c r="I462" t="s">
        <v>1664</v>
      </c>
      <c r="J462">
        <v>6.55</v>
      </c>
      <c r="K462" t="str">
        <f>_xlfn.XLOOKUP(B462,zones_lookup!A:A,zones_lookup!B:B,"Not found")</f>
        <v>Mrs. Okafor</v>
      </c>
      <c r="L462">
        <f>_xlfn.XLOOKUP(B462,zones_lookup!A:A,zones_lookup!C:C,"Not found")</f>
        <v>503000</v>
      </c>
    </row>
    <row r="463" spans="1:12" x14ac:dyDescent="0.3">
      <c r="A463" s="2">
        <v>45919</v>
      </c>
      <c r="B463" t="s">
        <v>49</v>
      </c>
      <c r="C463" t="s">
        <v>50</v>
      </c>
      <c r="D463">
        <v>6</v>
      </c>
      <c r="E463">
        <v>21.5</v>
      </c>
      <c r="F463">
        <v>246.8</v>
      </c>
      <c r="G463">
        <v>0</v>
      </c>
      <c r="H463">
        <v>9</v>
      </c>
      <c r="I463" t="s">
        <v>1670</v>
      </c>
      <c r="J463">
        <v>3.5833333333333335</v>
      </c>
      <c r="K463" t="str">
        <f>_xlfn.XLOOKUP(B463,zones_lookup!A:A,zones_lookup!B:B,"Not found")</f>
        <v>Mrs. Johnson</v>
      </c>
      <c r="L463">
        <f>_xlfn.XLOOKUP(B463,zones_lookup!A:A,zones_lookup!C:C,"Not found")</f>
        <v>241000</v>
      </c>
    </row>
    <row r="464" spans="1:12" x14ac:dyDescent="0.3">
      <c r="A464" s="2">
        <v>45875</v>
      </c>
      <c r="B464" t="s">
        <v>60</v>
      </c>
      <c r="C464" t="s">
        <v>64</v>
      </c>
      <c r="D464">
        <v>5</v>
      </c>
      <c r="E464">
        <v>15.6</v>
      </c>
      <c r="F464">
        <v>215.5</v>
      </c>
      <c r="G464">
        <v>2</v>
      </c>
      <c r="H464">
        <v>8</v>
      </c>
      <c r="I464" t="s">
        <v>1666</v>
      </c>
      <c r="J464">
        <v>3.12</v>
      </c>
      <c r="K464" t="str">
        <f>_xlfn.XLOOKUP(B464,zones_lookup!A:A,zones_lookup!B:B,"Not found")</f>
        <v>Mrs. Eze</v>
      </c>
      <c r="L464">
        <f>_xlfn.XLOOKUP(B464,zones_lookup!A:A,zones_lookup!C:C,"Not found")</f>
        <v>535000</v>
      </c>
    </row>
    <row r="465" spans="1:12" x14ac:dyDescent="0.3">
      <c r="A465" s="2">
        <v>45860</v>
      </c>
      <c r="B465" t="s">
        <v>76</v>
      </c>
      <c r="C465" t="s">
        <v>84</v>
      </c>
      <c r="D465">
        <v>6</v>
      </c>
      <c r="E465">
        <v>41.8</v>
      </c>
      <c r="F465">
        <v>226.5</v>
      </c>
      <c r="G465">
        <v>1</v>
      </c>
      <c r="H465">
        <v>7</v>
      </c>
      <c r="I465" t="s">
        <v>1661</v>
      </c>
      <c r="J465">
        <v>6.9666666666666659</v>
      </c>
      <c r="K465" t="str">
        <f>_xlfn.XLOOKUP(B465,zones_lookup!A:A,zones_lookup!B:B,"Not found")</f>
        <v>Mr. Adeyemi</v>
      </c>
      <c r="L465">
        <f>_xlfn.XLOOKUP(B465,zones_lookup!A:A,zones_lookup!C:C,"Not found")</f>
        <v>313000</v>
      </c>
    </row>
    <row r="466" spans="1:12" x14ac:dyDescent="0.3">
      <c r="A466" s="2">
        <v>45872</v>
      </c>
      <c r="B466" t="s">
        <v>60</v>
      </c>
      <c r="C466" t="s">
        <v>69</v>
      </c>
      <c r="D466">
        <v>2</v>
      </c>
      <c r="E466">
        <v>8.1</v>
      </c>
      <c r="F466">
        <v>89.1</v>
      </c>
      <c r="G466">
        <v>3</v>
      </c>
      <c r="H466">
        <v>8</v>
      </c>
      <c r="I466" t="s">
        <v>1666</v>
      </c>
      <c r="J466">
        <v>4.05</v>
      </c>
      <c r="K466" t="str">
        <f>_xlfn.XLOOKUP(B466,zones_lookup!A:A,zones_lookup!B:B,"Not found")</f>
        <v>Mrs. Eze</v>
      </c>
      <c r="L466">
        <f>_xlfn.XLOOKUP(B466,zones_lookup!A:A,zones_lookup!C:C,"Not found")</f>
        <v>535000</v>
      </c>
    </row>
    <row r="467" spans="1:12" x14ac:dyDescent="0.3">
      <c r="A467" s="2">
        <v>45851</v>
      </c>
      <c r="B467" t="s">
        <v>27</v>
      </c>
      <c r="C467" t="s">
        <v>28</v>
      </c>
      <c r="D467">
        <v>2</v>
      </c>
      <c r="E467">
        <v>14.5</v>
      </c>
      <c r="F467">
        <v>83.8</v>
      </c>
      <c r="G467">
        <v>0</v>
      </c>
      <c r="H467">
        <v>7</v>
      </c>
      <c r="I467" t="s">
        <v>1661</v>
      </c>
      <c r="J467">
        <v>7.25</v>
      </c>
      <c r="K467" t="str">
        <f>_xlfn.XLOOKUP(B467,zones_lookup!A:A,zones_lookup!B:B,"Not found")</f>
        <v>Mr. Bello</v>
      </c>
      <c r="L467">
        <f>_xlfn.XLOOKUP(B467,zones_lookup!A:A,zones_lookup!C:C,"Not found")</f>
        <v>1288000</v>
      </c>
    </row>
    <row r="468" spans="1:12" x14ac:dyDescent="0.3">
      <c r="A468" s="2">
        <v>45715</v>
      </c>
      <c r="B468" t="s">
        <v>27</v>
      </c>
      <c r="C468" t="s">
        <v>38</v>
      </c>
      <c r="D468">
        <v>2</v>
      </c>
      <c r="E468">
        <v>13.6</v>
      </c>
      <c r="F468">
        <v>72.900000000000006</v>
      </c>
      <c r="G468">
        <v>3</v>
      </c>
      <c r="H468">
        <v>2</v>
      </c>
      <c r="I468" t="s">
        <v>1665</v>
      </c>
      <c r="J468">
        <v>6.8</v>
      </c>
      <c r="K468" t="str">
        <f>_xlfn.XLOOKUP(B468,zones_lookup!A:A,zones_lookup!B:B,"Not found")</f>
        <v>Mr. Bello</v>
      </c>
      <c r="L468">
        <f>_xlfn.XLOOKUP(B468,zones_lookup!A:A,zones_lookup!C:C,"Not found")</f>
        <v>1288000</v>
      </c>
    </row>
    <row r="469" spans="1:12" x14ac:dyDescent="0.3">
      <c r="A469" s="2">
        <v>45783</v>
      </c>
      <c r="B469" t="s">
        <v>49</v>
      </c>
      <c r="C469" t="s">
        <v>50</v>
      </c>
      <c r="D469">
        <v>4</v>
      </c>
      <c r="E469">
        <v>12.7</v>
      </c>
      <c r="F469">
        <v>151.6</v>
      </c>
      <c r="G469">
        <v>3</v>
      </c>
      <c r="H469">
        <v>5</v>
      </c>
      <c r="I469" t="s">
        <v>1663</v>
      </c>
      <c r="J469">
        <v>3.1749999999999998</v>
      </c>
      <c r="K469" t="str">
        <f>_xlfn.XLOOKUP(B469,zones_lookup!A:A,zones_lookup!B:B,"Not found")</f>
        <v>Mrs. Johnson</v>
      </c>
      <c r="L469">
        <f>_xlfn.XLOOKUP(B469,zones_lookup!A:A,zones_lookup!C:C,"Not found")</f>
        <v>241000</v>
      </c>
    </row>
    <row r="470" spans="1:12" x14ac:dyDescent="0.3">
      <c r="A470" s="2">
        <v>45847</v>
      </c>
      <c r="B470" t="s">
        <v>49</v>
      </c>
      <c r="C470" t="s">
        <v>50</v>
      </c>
      <c r="D470">
        <v>4</v>
      </c>
      <c r="E470">
        <v>12.2</v>
      </c>
      <c r="F470">
        <v>180.2</v>
      </c>
      <c r="G470">
        <v>2</v>
      </c>
      <c r="H470">
        <v>7</v>
      </c>
      <c r="I470" t="s">
        <v>1661</v>
      </c>
      <c r="J470">
        <v>3.05</v>
      </c>
      <c r="K470" t="str">
        <f>_xlfn.XLOOKUP(B470,zones_lookup!A:A,zones_lookup!B:B,"Not found")</f>
        <v>Mrs. Johnson</v>
      </c>
      <c r="L470">
        <f>_xlfn.XLOOKUP(B470,zones_lookup!A:A,zones_lookup!C:C,"Not found")</f>
        <v>241000</v>
      </c>
    </row>
    <row r="471" spans="1:12" x14ac:dyDescent="0.3">
      <c r="A471" s="2">
        <v>45929</v>
      </c>
      <c r="B471" t="s">
        <v>89</v>
      </c>
      <c r="C471" t="s">
        <v>131</v>
      </c>
      <c r="D471">
        <v>3</v>
      </c>
      <c r="E471">
        <v>18.399999999999999</v>
      </c>
      <c r="F471">
        <v>113.8</v>
      </c>
      <c r="G471">
        <v>2</v>
      </c>
      <c r="H471">
        <v>9</v>
      </c>
      <c r="I471" t="s">
        <v>1670</v>
      </c>
      <c r="J471">
        <v>6.1333333333333329</v>
      </c>
      <c r="K471" t="str">
        <f>_xlfn.XLOOKUP(B471,zones_lookup!A:A,zones_lookup!B:B,"Not found")</f>
        <v>Mr. Salami</v>
      </c>
      <c r="L471">
        <f>_xlfn.XLOOKUP(B471,zones_lookup!A:A,zones_lookup!C:C,"Not found")</f>
        <v>200000</v>
      </c>
    </row>
    <row r="472" spans="1:12" x14ac:dyDescent="0.3">
      <c r="A472" s="2">
        <v>45844</v>
      </c>
      <c r="B472" t="s">
        <v>60</v>
      </c>
      <c r="C472" t="s">
        <v>64</v>
      </c>
      <c r="D472">
        <v>2</v>
      </c>
      <c r="E472">
        <v>6.9</v>
      </c>
      <c r="F472">
        <v>79.900000000000006</v>
      </c>
      <c r="G472">
        <v>3</v>
      </c>
      <c r="H472">
        <v>7</v>
      </c>
      <c r="I472" t="s">
        <v>1661</v>
      </c>
      <c r="J472">
        <v>3.45</v>
      </c>
      <c r="K472" t="str">
        <f>_xlfn.XLOOKUP(B472,zones_lookup!A:A,zones_lookup!B:B,"Not found")</f>
        <v>Mrs. Eze</v>
      </c>
      <c r="L472">
        <f>_xlfn.XLOOKUP(B472,zones_lookup!A:A,zones_lookup!C:C,"Not found")</f>
        <v>535000</v>
      </c>
    </row>
    <row r="473" spans="1:12" x14ac:dyDescent="0.3">
      <c r="A473" s="2">
        <v>46012</v>
      </c>
      <c r="B473" t="s">
        <v>76</v>
      </c>
      <c r="C473" t="s">
        <v>77</v>
      </c>
      <c r="D473">
        <v>4</v>
      </c>
      <c r="E473">
        <v>32.1</v>
      </c>
      <c r="F473">
        <v>145</v>
      </c>
      <c r="G473">
        <v>1</v>
      </c>
      <c r="H473">
        <v>12</v>
      </c>
      <c r="I473" t="s">
        <v>1671</v>
      </c>
      <c r="J473">
        <v>8.0250000000000004</v>
      </c>
      <c r="K473" t="str">
        <f>_xlfn.XLOOKUP(B473,zones_lookup!A:A,zones_lookup!B:B,"Not found")</f>
        <v>Mr. Adeyemi</v>
      </c>
      <c r="L473">
        <f>_xlfn.XLOOKUP(B473,zones_lookup!A:A,zones_lookup!C:C,"Not found")</f>
        <v>313000</v>
      </c>
    </row>
    <row r="474" spans="1:12" x14ac:dyDescent="0.3">
      <c r="A474" s="2">
        <v>45986</v>
      </c>
      <c r="B474" t="s">
        <v>108</v>
      </c>
      <c r="C474" t="s">
        <v>109</v>
      </c>
      <c r="D474">
        <v>4</v>
      </c>
      <c r="E474">
        <v>25.9</v>
      </c>
      <c r="F474">
        <v>175.6</v>
      </c>
      <c r="G474">
        <v>2</v>
      </c>
      <c r="H474">
        <v>11</v>
      </c>
      <c r="I474" t="s">
        <v>1664</v>
      </c>
      <c r="J474">
        <v>6.4749999999999996</v>
      </c>
      <c r="K474" t="str">
        <f>_xlfn.XLOOKUP(B474,zones_lookup!A:A,zones_lookup!B:B,"Not found")</f>
        <v>Mrs. Okafor</v>
      </c>
      <c r="L474">
        <f>_xlfn.XLOOKUP(B474,zones_lookup!A:A,zones_lookup!C:C,"Not found")</f>
        <v>503000</v>
      </c>
    </row>
    <row r="475" spans="1:12" x14ac:dyDescent="0.3">
      <c r="A475" s="2">
        <v>45866</v>
      </c>
      <c r="B475" t="s">
        <v>76</v>
      </c>
      <c r="C475" t="s">
        <v>80</v>
      </c>
      <c r="D475">
        <v>4</v>
      </c>
      <c r="E475">
        <v>26.1</v>
      </c>
      <c r="F475">
        <v>153.4</v>
      </c>
      <c r="G475">
        <v>2</v>
      </c>
      <c r="H475">
        <v>7</v>
      </c>
      <c r="I475" t="s">
        <v>1661</v>
      </c>
      <c r="J475">
        <v>6.5250000000000004</v>
      </c>
      <c r="K475" t="str">
        <f>_xlfn.XLOOKUP(B475,zones_lookup!A:A,zones_lookup!B:B,"Not found")</f>
        <v>Mr. Adeyemi</v>
      </c>
      <c r="L475">
        <f>_xlfn.XLOOKUP(B475,zones_lookup!A:A,zones_lookup!C:C,"Not found")</f>
        <v>313000</v>
      </c>
    </row>
    <row r="476" spans="1:12" x14ac:dyDescent="0.3">
      <c r="A476" s="2">
        <v>45987</v>
      </c>
      <c r="B476" t="s">
        <v>60</v>
      </c>
      <c r="C476" t="s">
        <v>61</v>
      </c>
      <c r="D476">
        <v>2</v>
      </c>
      <c r="E476">
        <v>7.3</v>
      </c>
      <c r="F476">
        <v>80.3</v>
      </c>
      <c r="G476">
        <v>3</v>
      </c>
      <c r="H476">
        <v>11</v>
      </c>
      <c r="I476" t="s">
        <v>1664</v>
      </c>
      <c r="J476">
        <v>3.65</v>
      </c>
      <c r="K476" t="str">
        <f>_xlfn.XLOOKUP(B476,zones_lookup!A:A,zones_lookup!B:B,"Not found")</f>
        <v>Mrs. Eze</v>
      </c>
      <c r="L476">
        <f>_xlfn.XLOOKUP(B476,zones_lookup!A:A,zones_lookup!C:C,"Not found")</f>
        <v>535000</v>
      </c>
    </row>
    <row r="477" spans="1:12" x14ac:dyDescent="0.3">
      <c r="A477" s="2">
        <v>45721</v>
      </c>
      <c r="B477" t="s">
        <v>41</v>
      </c>
      <c r="C477" t="s">
        <v>46</v>
      </c>
      <c r="D477">
        <v>6</v>
      </c>
      <c r="E477">
        <v>37.200000000000003</v>
      </c>
      <c r="F477">
        <v>228.9</v>
      </c>
      <c r="G477">
        <v>1</v>
      </c>
      <c r="H477">
        <v>3</v>
      </c>
      <c r="I477" t="s">
        <v>1662</v>
      </c>
      <c r="J477">
        <v>6.2</v>
      </c>
      <c r="K477" t="str">
        <f>_xlfn.XLOOKUP(B477,zones_lookup!A:A,zones_lookup!B:B,"Not found")</f>
        <v>Mrs. Adisa</v>
      </c>
      <c r="L477">
        <f>_xlfn.XLOOKUP(B477,zones_lookup!A:A,zones_lookup!C:C,"Not found")</f>
        <v>633000</v>
      </c>
    </row>
    <row r="478" spans="1:12" x14ac:dyDescent="0.3">
      <c r="A478" s="2">
        <v>45851</v>
      </c>
      <c r="B478" t="s">
        <v>76</v>
      </c>
      <c r="C478" t="s">
        <v>77</v>
      </c>
      <c r="D478">
        <v>3</v>
      </c>
      <c r="E478">
        <v>20.2</v>
      </c>
      <c r="F478">
        <v>124</v>
      </c>
      <c r="G478">
        <v>0</v>
      </c>
      <c r="H478">
        <v>7</v>
      </c>
      <c r="I478" t="s">
        <v>1661</v>
      </c>
      <c r="J478">
        <v>6.7333333333333334</v>
      </c>
      <c r="K478" t="str">
        <f>_xlfn.XLOOKUP(B478,zones_lookup!A:A,zones_lookup!B:B,"Not found")</f>
        <v>Mr. Adeyemi</v>
      </c>
      <c r="L478">
        <f>_xlfn.XLOOKUP(B478,zones_lookup!A:A,zones_lookup!C:C,"Not found")</f>
        <v>313000</v>
      </c>
    </row>
    <row r="479" spans="1:12" x14ac:dyDescent="0.3">
      <c r="A479" s="2">
        <v>45768</v>
      </c>
      <c r="B479" t="s">
        <v>41</v>
      </c>
      <c r="C479" t="s">
        <v>46</v>
      </c>
      <c r="D479">
        <v>2</v>
      </c>
      <c r="E479">
        <v>13.8</v>
      </c>
      <c r="F479">
        <v>83.4</v>
      </c>
      <c r="H479">
        <v>4</v>
      </c>
      <c r="I479" t="s">
        <v>1668</v>
      </c>
      <c r="J479">
        <v>6.9</v>
      </c>
      <c r="K479" t="str">
        <f>_xlfn.XLOOKUP(B479,zones_lookup!A:A,zones_lookup!B:B,"Not found")</f>
        <v>Mrs. Adisa</v>
      </c>
      <c r="L479">
        <f>_xlfn.XLOOKUP(B479,zones_lookup!A:A,zones_lookup!C:C,"Not found")</f>
        <v>633000</v>
      </c>
    </row>
    <row r="480" spans="1:12" x14ac:dyDescent="0.3">
      <c r="A480" s="2">
        <v>45762</v>
      </c>
      <c r="B480" t="s">
        <v>89</v>
      </c>
      <c r="C480" t="s">
        <v>131</v>
      </c>
      <c r="D480">
        <v>4</v>
      </c>
      <c r="E480">
        <v>24.9</v>
      </c>
      <c r="F480">
        <v>137</v>
      </c>
      <c r="G480">
        <v>1</v>
      </c>
      <c r="H480">
        <v>4</v>
      </c>
      <c r="I480" t="s">
        <v>1668</v>
      </c>
      <c r="J480">
        <v>6.2249999999999996</v>
      </c>
      <c r="K480" t="str">
        <f>_xlfn.XLOOKUP(B480,zones_lookup!A:A,zones_lookup!B:B,"Not found")</f>
        <v>Mr. Salami</v>
      </c>
      <c r="L480">
        <f>_xlfn.XLOOKUP(B480,zones_lookup!A:A,zones_lookup!C:C,"Not found")</f>
        <v>200000</v>
      </c>
    </row>
    <row r="481" spans="1:12" x14ac:dyDescent="0.3">
      <c r="A481" s="2">
        <v>45855</v>
      </c>
      <c r="B481" t="s">
        <v>49</v>
      </c>
      <c r="C481" t="s">
        <v>52</v>
      </c>
      <c r="D481">
        <v>4</v>
      </c>
      <c r="E481">
        <v>14.5</v>
      </c>
      <c r="F481">
        <v>108.4</v>
      </c>
      <c r="G481">
        <v>2</v>
      </c>
      <c r="H481">
        <v>7</v>
      </c>
      <c r="I481" t="s">
        <v>1661</v>
      </c>
      <c r="J481">
        <v>3.625</v>
      </c>
      <c r="K481" t="str">
        <f>_xlfn.XLOOKUP(B481,zones_lookup!A:A,zones_lookup!B:B,"Not found")</f>
        <v>Mrs. Johnson</v>
      </c>
      <c r="L481">
        <f>_xlfn.XLOOKUP(B481,zones_lookup!A:A,zones_lookup!C:C,"Not found")</f>
        <v>241000</v>
      </c>
    </row>
    <row r="482" spans="1:12" x14ac:dyDescent="0.3">
      <c r="A482" s="2">
        <v>45778</v>
      </c>
      <c r="B482" t="s">
        <v>49</v>
      </c>
      <c r="C482" t="s">
        <v>50</v>
      </c>
      <c r="D482">
        <v>2</v>
      </c>
      <c r="E482">
        <v>6.6</v>
      </c>
      <c r="F482">
        <v>71.2</v>
      </c>
      <c r="G482">
        <v>5</v>
      </c>
      <c r="H482">
        <v>5</v>
      </c>
      <c r="I482" t="s">
        <v>1663</v>
      </c>
      <c r="J482">
        <v>3.3</v>
      </c>
      <c r="K482" t="str">
        <f>_xlfn.XLOOKUP(B482,zones_lookup!A:A,zones_lookup!B:B,"Not found")</f>
        <v>Mrs. Johnson</v>
      </c>
      <c r="L482">
        <f>_xlfn.XLOOKUP(B482,zones_lookup!A:A,zones_lookup!C:C,"Not found")</f>
        <v>241000</v>
      </c>
    </row>
    <row r="483" spans="1:12" x14ac:dyDescent="0.3">
      <c r="A483" s="2">
        <v>45914</v>
      </c>
      <c r="B483" t="s">
        <v>76</v>
      </c>
      <c r="C483" t="s">
        <v>77</v>
      </c>
      <c r="D483">
        <v>4</v>
      </c>
      <c r="E483">
        <v>24</v>
      </c>
      <c r="F483">
        <v>176.3</v>
      </c>
      <c r="G483">
        <v>1</v>
      </c>
      <c r="H483">
        <v>9</v>
      </c>
      <c r="I483" t="s">
        <v>1670</v>
      </c>
      <c r="J483">
        <v>6</v>
      </c>
      <c r="K483" t="str">
        <f>_xlfn.XLOOKUP(B483,zones_lookup!A:A,zones_lookup!B:B,"Not found")</f>
        <v>Mr. Adeyemi</v>
      </c>
      <c r="L483">
        <f>_xlfn.XLOOKUP(B483,zones_lookup!A:A,zones_lookup!C:C,"Not found")</f>
        <v>313000</v>
      </c>
    </row>
    <row r="484" spans="1:12" x14ac:dyDescent="0.3">
      <c r="A484" s="2">
        <v>45836</v>
      </c>
      <c r="B484" t="s">
        <v>60</v>
      </c>
      <c r="C484" t="s">
        <v>61</v>
      </c>
      <c r="D484">
        <v>3</v>
      </c>
      <c r="F484">
        <v>100.6</v>
      </c>
      <c r="G484">
        <v>4</v>
      </c>
      <c r="H484">
        <v>6</v>
      </c>
      <c r="I484" t="s">
        <v>1667</v>
      </c>
      <c r="K484" t="str">
        <f>_xlfn.XLOOKUP(B484,zones_lookup!A:A,zones_lookup!B:B,"Not found")</f>
        <v>Mrs. Eze</v>
      </c>
      <c r="L484">
        <f>_xlfn.XLOOKUP(B484,zones_lookup!A:A,zones_lookup!C:C,"Not found")</f>
        <v>535000</v>
      </c>
    </row>
    <row r="485" spans="1:12" x14ac:dyDescent="0.3">
      <c r="A485" s="2">
        <v>45926</v>
      </c>
      <c r="B485" t="s">
        <v>93</v>
      </c>
      <c r="C485" t="s">
        <v>101</v>
      </c>
      <c r="D485">
        <v>3</v>
      </c>
      <c r="E485">
        <v>10.5</v>
      </c>
      <c r="F485">
        <v>90.5</v>
      </c>
      <c r="G485">
        <v>7</v>
      </c>
      <c r="H485">
        <v>9</v>
      </c>
      <c r="I485" t="s">
        <v>1670</v>
      </c>
      <c r="J485">
        <v>3.5</v>
      </c>
      <c r="K485" t="str">
        <f>_xlfn.XLOOKUP(B485,zones_lookup!A:A,zones_lookup!B:B,"Not found")</f>
        <v>Mr. Ogunleye</v>
      </c>
      <c r="L485">
        <f>_xlfn.XLOOKUP(B485,zones_lookup!A:A,zones_lookup!C:C,"Not found")</f>
        <v>181000</v>
      </c>
    </row>
    <row r="486" spans="1:12" x14ac:dyDescent="0.3">
      <c r="A486" s="2">
        <v>46018</v>
      </c>
      <c r="B486" t="s">
        <v>76</v>
      </c>
      <c r="C486" t="s">
        <v>84</v>
      </c>
      <c r="D486">
        <v>3</v>
      </c>
      <c r="E486">
        <v>26</v>
      </c>
      <c r="F486">
        <v>114</v>
      </c>
      <c r="G486">
        <v>0</v>
      </c>
      <c r="H486">
        <v>12</v>
      </c>
      <c r="I486" t="s">
        <v>1671</v>
      </c>
      <c r="J486">
        <v>8.6666666666666661</v>
      </c>
      <c r="K486" t="str">
        <f>_xlfn.XLOOKUP(B486,zones_lookup!A:A,zones_lookup!B:B,"Not found")</f>
        <v>Mr. Adeyemi</v>
      </c>
      <c r="L486">
        <f>_xlfn.XLOOKUP(B486,zones_lookup!A:A,zones_lookup!C:C,"Not found")</f>
        <v>313000</v>
      </c>
    </row>
    <row r="487" spans="1:12" x14ac:dyDescent="0.3">
      <c r="A487" s="2">
        <v>45937</v>
      </c>
      <c r="B487" t="s">
        <v>93</v>
      </c>
      <c r="C487" t="s">
        <v>57</v>
      </c>
      <c r="D487">
        <v>6</v>
      </c>
      <c r="E487">
        <v>21.7</v>
      </c>
      <c r="F487">
        <v>154.80000000000001</v>
      </c>
      <c r="G487">
        <v>0</v>
      </c>
      <c r="H487">
        <v>10</v>
      </c>
      <c r="I487" t="s">
        <v>1669</v>
      </c>
      <c r="J487">
        <v>3.6166666666666667</v>
      </c>
      <c r="K487" t="str">
        <f>_xlfn.XLOOKUP(B487,zones_lookup!A:A,zones_lookup!B:B,"Not found")</f>
        <v>Mr. Ogunleye</v>
      </c>
      <c r="L487">
        <f>_xlfn.XLOOKUP(B487,zones_lookup!A:A,zones_lookup!C:C,"Not found")</f>
        <v>181000</v>
      </c>
    </row>
    <row r="488" spans="1:12" x14ac:dyDescent="0.3">
      <c r="A488" s="2">
        <v>45905</v>
      </c>
      <c r="B488" t="s">
        <v>76</v>
      </c>
      <c r="C488" t="s">
        <v>77</v>
      </c>
      <c r="D488">
        <v>5</v>
      </c>
      <c r="E488">
        <v>31.5</v>
      </c>
      <c r="F488">
        <v>151.6</v>
      </c>
      <c r="G488">
        <v>2</v>
      </c>
      <c r="H488">
        <v>9</v>
      </c>
      <c r="I488" t="s">
        <v>1670</v>
      </c>
      <c r="J488">
        <v>6.3</v>
      </c>
      <c r="K488" t="str">
        <f>_xlfn.XLOOKUP(B488,zones_lookup!A:A,zones_lookup!B:B,"Not found")</f>
        <v>Mr. Adeyemi</v>
      </c>
      <c r="L488">
        <f>_xlfn.XLOOKUP(B488,zones_lookup!A:A,zones_lookup!C:C,"Not found")</f>
        <v>313000</v>
      </c>
    </row>
    <row r="489" spans="1:12" x14ac:dyDescent="0.3">
      <c r="A489" s="2">
        <v>45994</v>
      </c>
      <c r="B489" t="s">
        <v>60</v>
      </c>
      <c r="C489" t="s">
        <v>61</v>
      </c>
      <c r="D489">
        <v>3</v>
      </c>
      <c r="E489">
        <v>14</v>
      </c>
      <c r="F489">
        <v>105.5</v>
      </c>
      <c r="G489">
        <v>3</v>
      </c>
      <c r="H489">
        <v>12</v>
      </c>
      <c r="I489" t="s">
        <v>1671</v>
      </c>
      <c r="J489">
        <v>4.666666666666667</v>
      </c>
      <c r="K489" t="str">
        <f>_xlfn.XLOOKUP(B489,zones_lookup!A:A,zones_lookup!B:B,"Not found")</f>
        <v>Mrs. Eze</v>
      </c>
      <c r="L489">
        <f>_xlfn.XLOOKUP(B489,zones_lookup!A:A,zones_lookup!C:C,"Not found")</f>
        <v>535000</v>
      </c>
    </row>
    <row r="490" spans="1:12" x14ac:dyDescent="0.3">
      <c r="A490" s="2">
        <v>45997</v>
      </c>
      <c r="B490" t="s">
        <v>27</v>
      </c>
      <c r="C490" t="s">
        <v>34</v>
      </c>
      <c r="D490">
        <v>6</v>
      </c>
      <c r="E490">
        <v>48.1</v>
      </c>
      <c r="F490">
        <v>244.3</v>
      </c>
      <c r="G490">
        <v>3</v>
      </c>
      <c r="H490">
        <v>12</v>
      </c>
      <c r="I490" t="s">
        <v>1671</v>
      </c>
      <c r="J490">
        <v>8.0166666666666675</v>
      </c>
      <c r="K490" t="str">
        <f>_xlfn.XLOOKUP(B490,zones_lookup!A:A,zones_lookup!B:B,"Not found")</f>
        <v>Mr. Bello</v>
      </c>
      <c r="L490">
        <f>_xlfn.XLOOKUP(B490,zones_lookup!A:A,zones_lookup!C:C,"Not found")</f>
        <v>1288000</v>
      </c>
    </row>
    <row r="491" spans="1:12" x14ac:dyDescent="0.3">
      <c r="A491" s="2">
        <v>45873</v>
      </c>
      <c r="B491" t="s">
        <v>41</v>
      </c>
      <c r="C491" t="s">
        <v>73</v>
      </c>
      <c r="D491">
        <v>2</v>
      </c>
      <c r="E491">
        <v>14.3</v>
      </c>
      <c r="F491">
        <v>82.4</v>
      </c>
      <c r="G491">
        <v>2</v>
      </c>
      <c r="H491">
        <v>8</v>
      </c>
      <c r="I491" t="s">
        <v>1666</v>
      </c>
      <c r="J491">
        <v>7.15</v>
      </c>
      <c r="K491" t="str">
        <f>_xlfn.XLOOKUP(B491,zones_lookup!A:A,zones_lookup!B:B,"Not found")</f>
        <v>Mrs. Adisa</v>
      </c>
      <c r="L491">
        <f>_xlfn.XLOOKUP(B491,zones_lookup!A:A,zones_lookup!C:C,"Not found")</f>
        <v>633000</v>
      </c>
    </row>
    <row r="492" spans="1:12" x14ac:dyDescent="0.3">
      <c r="A492" s="2">
        <v>45962</v>
      </c>
      <c r="B492" t="s">
        <v>108</v>
      </c>
      <c r="C492" t="s">
        <v>109</v>
      </c>
      <c r="D492">
        <v>4</v>
      </c>
      <c r="E492">
        <v>27.3</v>
      </c>
      <c r="F492">
        <v>142.30000000000001</v>
      </c>
      <c r="G492">
        <v>2</v>
      </c>
      <c r="H492">
        <v>11</v>
      </c>
      <c r="I492" t="s">
        <v>1664</v>
      </c>
      <c r="J492">
        <v>6.8250000000000002</v>
      </c>
      <c r="K492" t="str">
        <f>_xlfn.XLOOKUP(B492,zones_lookup!A:A,zones_lookup!B:B,"Not found")</f>
        <v>Mrs. Okafor</v>
      </c>
      <c r="L492">
        <f>_xlfn.XLOOKUP(B492,zones_lookup!A:A,zones_lookup!C:C,"Not found")</f>
        <v>503000</v>
      </c>
    </row>
    <row r="493" spans="1:12" x14ac:dyDescent="0.3">
      <c r="A493" s="2">
        <v>45723</v>
      </c>
      <c r="B493" t="s">
        <v>41</v>
      </c>
      <c r="C493" t="s">
        <v>73</v>
      </c>
      <c r="D493">
        <v>3</v>
      </c>
      <c r="E493">
        <v>17.7</v>
      </c>
      <c r="F493">
        <v>100.6</v>
      </c>
      <c r="G493">
        <v>3</v>
      </c>
      <c r="H493">
        <v>3</v>
      </c>
      <c r="I493" t="s">
        <v>1662</v>
      </c>
      <c r="J493">
        <v>5.8999999999999995</v>
      </c>
      <c r="K493" t="str">
        <f>_xlfn.XLOOKUP(B493,zones_lookup!A:A,zones_lookup!B:B,"Not found")</f>
        <v>Mrs. Adisa</v>
      </c>
      <c r="L493">
        <f>_xlfn.XLOOKUP(B493,zones_lookup!A:A,zones_lookup!C:C,"Not found")</f>
        <v>633000</v>
      </c>
    </row>
    <row r="494" spans="1:12" x14ac:dyDescent="0.3">
      <c r="A494" s="2">
        <v>45843</v>
      </c>
      <c r="B494" t="s">
        <v>108</v>
      </c>
      <c r="C494" t="s">
        <v>109</v>
      </c>
      <c r="D494">
        <v>3</v>
      </c>
      <c r="E494">
        <v>17.399999999999999</v>
      </c>
      <c r="F494">
        <v>92.3</v>
      </c>
      <c r="G494">
        <v>2</v>
      </c>
      <c r="H494">
        <v>7</v>
      </c>
      <c r="I494" t="s">
        <v>1661</v>
      </c>
      <c r="J494">
        <v>5.8</v>
      </c>
      <c r="K494" t="str">
        <f>_xlfn.XLOOKUP(B494,zones_lookup!A:A,zones_lookup!B:B,"Not found")</f>
        <v>Mrs. Okafor</v>
      </c>
      <c r="L494">
        <f>_xlfn.XLOOKUP(B494,zones_lookup!A:A,zones_lookup!C:C,"Not found")</f>
        <v>503000</v>
      </c>
    </row>
    <row r="495" spans="1:12" x14ac:dyDescent="0.3">
      <c r="A495" s="2">
        <v>45898</v>
      </c>
      <c r="B495" t="s">
        <v>93</v>
      </c>
      <c r="C495" t="s">
        <v>101</v>
      </c>
      <c r="D495">
        <v>2</v>
      </c>
      <c r="E495">
        <v>6</v>
      </c>
      <c r="F495">
        <v>65.400000000000006</v>
      </c>
      <c r="G495">
        <v>2</v>
      </c>
      <c r="H495">
        <v>8</v>
      </c>
      <c r="I495" t="s">
        <v>1666</v>
      </c>
      <c r="J495">
        <v>3</v>
      </c>
      <c r="K495" t="str">
        <f>_xlfn.XLOOKUP(B495,zones_lookup!A:A,zones_lookup!B:B,"Not found")</f>
        <v>Mr. Ogunleye</v>
      </c>
      <c r="L495">
        <f>_xlfn.XLOOKUP(B495,zones_lookup!A:A,zones_lookup!C:C,"Not found")</f>
        <v>181000</v>
      </c>
    </row>
    <row r="496" spans="1:12" x14ac:dyDescent="0.3">
      <c r="A496" s="2">
        <v>45923</v>
      </c>
      <c r="B496" t="s">
        <v>60</v>
      </c>
      <c r="C496" t="s">
        <v>69</v>
      </c>
      <c r="D496">
        <v>5</v>
      </c>
      <c r="E496">
        <v>19.600000000000001</v>
      </c>
      <c r="F496">
        <v>210</v>
      </c>
      <c r="G496">
        <v>3</v>
      </c>
      <c r="H496">
        <v>9</v>
      </c>
      <c r="I496" t="s">
        <v>1670</v>
      </c>
      <c r="J496">
        <v>3.9200000000000004</v>
      </c>
      <c r="K496" t="str">
        <f>_xlfn.XLOOKUP(B496,zones_lookup!A:A,zones_lookup!B:B,"Not found")</f>
        <v>Mrs. Eze</v>
      </c>
      <c r="L496">
        <f>_xlfn.XLOOKUP(B496,zones_lookup!A:A,zones_lookup!C:C,"Not found")</f>
        <v>535000</v>
      </c>
    </row>
    <row r="497" spans="1:12" x14ac:dyDescent="0.3">
      <c r="A497" s="2">
        <v>45885</v>
      </c>
      <c r="B497" t="s">
        <v>27</v>
      </c>
      <c r="C497" t="s">
        <v>28</v>
      </c>
      <c r="D497">
        <v>4</v>
      </c>
      <c r="E497">
        <v>32.700000000000003</v>
      </c>
      <c r="F497">
        <v>128.6</v>
      </c>
      <c r="G497">
        <v>1</v>
      </c>
      <c r="H497">
        <v>8</v>
      </c>
      <c r="I497" t="s">
        <v>1666</v>
      </c>
      <c r="J497">
        <v>8.1750000000000007</v>
      </c>
      <c r="K497" t="str">
        <f>_xlfn.XLOOKUP(B497,zones_lookup!A:A,zones_lookup!B:B,"Not found")</f>
        <v>Mr. Bello</v>
      </c>
      <c r="L497">
        <f>_xlfn.XLOOKUP(B497,zones_lookup!A:A,zones_lookup!C:C,"Not found")</f>
        <v>1288000</v>
      </c>
    </row>
    <row r="498" spans="1:12" x14ac:dyDescent="0.3">
      <c r="A498" s="2">
        <v>45686</v>
      </c>
      <c r="B498" t="s">
        <v>93</v>
      </c>
      <c r="C498" t="s">
        <v>57</v>
      </c>
      <c r="D498">
        <v>6</v>
      </c>
      <c r="E498">
        <v>17</v>
      </c>
      <c r="F498">
        <v>230.5</v>
      </c>
      <c r="G498">
        <v>3</v>
      </c>
      <c r="H498">
        <v>1</v>
      </c>
      <c r="I498" t="s">
        <v>1660</v>
      </c>
      <c r="J498">
        <v>2.8333333333333335</v>
      </c>
      <c r="K498" t="str">
        <f>_xlfn.XLOOKUP(B498,zones_lookup!A:A,zones_lookup!B:B,"Not found")</f>
        <v>Mr. Ogunleye</v>
      </c>
      <c r="L498">
        <f>_xlfn.XLOOKUP(B498,zones_lookup!A:A,zones_lookup!C:C,"Not found")</f>
        <v>181000</v>
      </c>
    </row>
    <row r="499" spans="1:12" x14ac:dyDescent="0.3">
      <c r="A499" s="2">
        <v>45800</v>
      </c>
      <c r="B499" t="s">
        <v>108</v>
      </c>
      <c r="C499" t="s">
        <v>109</v>
      </c>
      <c r="D499">
        <v>3</v>
      </c>
      <c r="E499">
        <v>22.1</v>
      </c>
      <c r="F499">
        <v>124.8</v>
      </c>
      <c r="G499">
        <v>0</v>
      </c>
      <c r="H499">
        <v>5</v>
      </c>
      <c r="I499" t="s">
        <v>1663</v>
      </c>
      <c r="J499">
        <v>7.3666666666666671</v>
      </c>
      <c r="K499" t="str">
        <f>_xlfn.XLOOKUP(B499,zones_lookup!A:A,zones_lookup!B:B,"Not found")</f>
        <v>Mrs. Okafor</v>
      </c>
      <c r="L499">
        <f>_xlfn.XLOOKUP(B499,zones_lookup!A:A,zones_lookup!C:C,"Not found")</f>
        <v>503000</v>
      </c>
    </row>
    <row r="500" spans="1:12" x14ac:dyDescent="0.3">
      <c r="A500" s="2">
        <v>45774</v>
      </c>
      <c r="B500" t="s">
        <v>108</v>
      </c>
      <c r="C500" t="s">
        <v>208</v>
      </c>
      <c r="D500">
        <v>4</v>
      </c>
      <c r="E500">
        <v>25.3</v>
      </c>
      <c r="F500">
        <v>177</v>
      </c>
      <c r="G500">
        <v>1</v>
      </c>
      <c r="H500">
        <v>4</v>
      </c>
      <c r="I500" t="s">
        <v>1668</v>
      </c>
      <c r="J500">
        <v>6.3250000000000002</v>
      </c>
      <c r="K500" t="str">
        <f>_xlfn.XLOOKUP(B500,zones_lookup!A:A,zones_lookup!B:B,"Not found")</f>
        <v>Mrs. Okafor</v>
      </c>
      <c r="L500">
        <f>_xlfn.XLOOKUP(B500,zones_lookup!A:A,zones_lookup!C:C,"Not found")</f>
        <v>503000</v>
      </c>
    </row>
    <row r="501" spans="1:12" x14ac:dyDescent="0.3">
      <c r="A501" s="2">
        <v>46022</v>
      </c>
      <c r="B501" t="s">
        <v>60</v>
      </c>
      <c r="C501" t="s">
        <v>69</v>
      </c>
      <c r="D501">
        <v>4</v>
      </c>
      <c r="E501">
        <v>21</v>
      </c>
      <c r="F501">
        <v>159.1</v>
      </c>
      <c r="G501">
        <v>2</v>
      </c>
      <c r="H501">
        <v>12</v>
      </c>
      <c r="I501" t="s">
        <v>1671</v>
      </c>
      <c r="J501">
        <v>5.25</v>
      </c>
      <c r="K501" t="str">
        <f>_xlfn.XLOOKUP(B501,zones_lookup!A:A,zones_lookup!B:B,"Not found")</f>
        <v>Mrs. Eze</v>
      </c>
      <c r="L501">
        <f>_xlfn.XLOOKUP(B501,zones_lookup!A:A,zones_lookup!C:C,"Not found")</f>
        <v>535000</v>
      </c>
    </row>
    <row r="502" spans="1:12" x14ac:dyDescent="0.3">
      <c r="A502" s="2">
        <v>45729</v>
      </c>
      <c r="B502" t="s">
        <v>60</v>
      </c>
      <c r="C502" t="s">
        <v>64</v>
      </c>
      <c r="D502">
        <v>2</v>
      </c>
      <c r="E502">
        <v>8.3000000000000007</v>
      </c>
      <c r="F502">
        <v>86.4</v>
      </c>
      <c r="G502">
        <v>2</v>
      </c>
      <c r="H502">
        <v>3</v>
      </c>
      <c r="I502" t="s">
        <v>1662</v>
      </c>
      <c r="J502">
        <v>4.1500000000000004</v>
      </c>
      <c r="K502" t="str">
        <f>_xlfn.XLOOKUP(B502,zones_lookup!A:A,zones_lookup!B:B,"Not found")</f>
        <v>Mrs. Eze</v>
      </c>
      <c r="L502">
        <f>_xlfn.XLOOKUP(B502,zones_lookup!A:A,zones_lookup!C:C,"Not found")</f>
        <v>535000</v>
      </c>
    </row>
    <row r="503" spans="1:12" x14ac:dyDescent="0.3">
      <c r="A503" s="2">
        <v>45968</v>
      </c>
      <c r="B503" t="s">
        <v>108</v>
      </c>
      <c r="C503" t="s">
        <v>109</v>
      </c>
      <c r="D503">
        <v>5</v>
      </c>
      <c r="E503">
        <v>30.4</v>
      </c>
      <c r="F503">
        <v>158.1</v>
      </c>
      <c r="G503">
        <v>0</v>
      </c>
      <c r="H503">
        <v>11</v>
      </c>
      <c r="I503" t="s">
        <v>1664</v>
      </c>
      <c r="J503">
        <v>6.08</v>
      </c>
      <c r="K503" t="str">
        <f>_xlfn.XLOOKUP(B503,zones_lookup!A:A,zones_lookup!B:B,"Not found")</f>
        <v>Mrs. Okafor</v>
      </c>
      <c r="L503">
        <f>_xlfn.XLOOKUP(B503,zones_lookup!A:A,zones_lookup!C:C,"Not found")</f>
        <v>503000</v>
      </c>
    </row>
    <row r="504" spans="1:12" x14ac:dyDescent="0.3">
      <c r="A504" s="2">
        <v>45674</v>
      </c>
      <c r="B504" t="s">
        <v>89</v>
      </c>
      <c r="C504" t="s">
        <v>131</v>
      </c>
      <c r="D504">
        <v>3</v>
      </c>
      <c r="E504">
        <v>13.7</v>
      </c>
      <c r="F504">
        <v>116.6</v>
      </c>
      <c r="G504">
        <v>4</v>
      </c>
      <c r="H504">
        <v>1</v>
      </c>
      <c r="I504" t="s">
        <v>1660</v>
      </c>
      <c r="J504">
        <v>4.5666666666666664</v>
      </c>
      <c r="K504" t="str">
        <f>_xlfn.XLOOKUP(B504,zones_lookup!A:A,zones_lookup!B:B,"Not found")</f>
        <v>Mr. Salami</v>
      </c>
      <c r="L504">
        <f>_xlfn.XLOOKUP(B504,zones_lookup!A:A,zones_lookup!C:C,"Not found")</f>
        <v>200000</v>
      </c>
    </row>
    <row r="505" spans="1:12" x14ac:dyDescent="0.3">
      <c r="A505" s="2">
        <v>45996</v>
      </c>
      <c r="B505" t="s">
        <v>108</v>
      </c>
      <c r="C505" t="s">
        <v>109</v>
      </c>
      <c r="D505">
        <v>3</v>
      </c>
      <c r="E505">
        <v>18.3</v>
      </c>
      <c r="F505">
        <v>142.4</v>
      </c>
      <c r="G505">
        <v>0</v>
      </c>
      <c r="H505">
        <v>12</v>
      </c>
      <c r="I505" t="s">
        <v>1671</v>
      </c>
      <c r="J505">
        <v>6.1000000000000005</v>
      </c>
      <c r="K505" t="str">
        <f>_xlfn.XLOOKUP(B505,zones_lookup!A:A,zones_lookup!B:B,"Not found")</f>
        <v>Mrs. Okafor</v>
      </c>
      <c r="L505">
        <f>_xlfn.XLOOKUP(B505,zones_lookup!A:A,zones_lookup!C:C,"Not found")</f>
        <v>503000</v>
      </c>
    </row>
    <row r="506" spans="1:12" x14ac:dyDescent="0.3">
      <c r="A506" s="2">
        <v>45904</v>
      </c>
      <c r="B506" t="s">
        <v>89</v>
      </c>
      <c r="C506" t="s">
        <v>131</v>
      </c>
      <c r="D506">
        <v>3</v>
      </c>
      <c r="E506">
        <v>18</v>
      </c>
      <c r="F506">
        <v>123.9</v>
      </c>
      <c r="G506">
        <v>2</v>
      </c>
      <c r="H506">
        <v>9</v>
      </c>
      <c r="I506" t="s">
        <v>1670</v>
      </c>
      <c r="J506">
        <v>6</v>
      </c>
      <c r="K506" t="str">
        <f>_xlfn.XLOOKUP(B506,zones_lookup!A:A,zones_lookup!B:B,"Not found")</f>
        <v>Mr. Salami</v>
      </c>
      <c r="L506">
        <f>_xlfn.XLOOKUP(B506,zones_lookup!A:A,zones_lookup!C:C,"Not found")</f>
        <v>200000</v>
      </c>
    </row>
    <row r="507" spans="1:12" x14ac:dyDescent="0.3">
      <c r="A507" s="2">
        <v>45748</v>
      </c>
      <c r="B507" t="s">
        <v>27</v>
      </c>
      <c r="C507" t="s">
        <v>38</v>
      </c>
      <c r="D507">
        <v>6</v>
      </c>
      <c r="E507">
        <v>39.6</v>
      </c>
      <c r="F507">
        <v>230.4</v>
      </c>
      <c r="G507">
        <v>1</v>
      </c>
      <c r="H507">
        <v>4</v>
      </c>
      <c r="I507" t="s">
        <v>1668</v>
      </c>
      <c r="J507">
        <v>6.6000000000000005</v>
      </c>
      <c r="K507" t="str">
        <f>_xlfn.XLOOKUP(B507,zones_lookup!A:A,zones_lookup!B:B,"Not found")</f>
        <v>Mr. Bello</v>
      </c>
      <c r="L507">
        <f>_xlfn.XLOOKUP(B507,zones_lookup!A:A,zones_lookup!C:C,"Not found")</f>
        <v>1288000</v>
      </c>
    </row>
    <row r="508" spans="1:12" x14ac:dyDescent="0.3">
      <c r="A508" s="2">
        <v>45911</v>
      </c>
      <c r="B508" t="s">
        <v>27</v>
      </c>
      <c r="C508" t="s">
        <v>34</v>
      </c>
      <c r="D508">
        <v>5</v>
      </c>
      <c r="E508">
        <v>34.1</v>
      </c>
      <c r="F508">
        <v>203.4</v>
      </c>
      <c r="G508">
        <v>1</v>
      </c>
      <c r="H508">
        <v>9</v>
      </c>
      <c r="I508" t="s">
        <v>1670</v>
      </c>
      <c r="J508">
        <v>6.82</v>
      </c>
      <c r="K508" t="str">
        <f>_xlfn.XLOOKUP(B508,zones_lookup!A:A,zones_lookup!B:B,"Not found")</f>
        <v>Mr. Bello</v>
      </c>
      <c r="L508">
        <f>_xlfn.XLOOKUP(B508,zones_lookup!A:A,zones_lookup!C:C,"Not found")</f>
        <v>1288000</v>
      </c>
    </row>
    <row r="509" spans="1:12" x14ac:dyDescent="0.3">
      <c r="A509" s="2">
        <v>45736</v>
      </c>
      <c r="B509" t="s">
        <v>49</v>
      </c>
      <c r="C509" t="s">
        <v>50</v>
      </c>
      <c r="D509">
        <v>4</v>
      </c>
      <c r="E509">
        <v>17</v>
      </c>
      <c r="F509">
        <v>114.4</v>
      </c>
      <c r="G509">
        <v>2</v>
      </c>
      <c r="H509">
        <v>3</v>
      </c>
      <c r="I509" t="s">
        <v>1662</v>
      </c>
      <c r="J509">
        <v>4.25</v>
      </c>
      <c r="K509" t="str">
        <f>_xlfn.XLOOKUP(B509,zones_lookup!A:A,zones_lookup!B:B,"Not found")</f>
        <v>Mrs. Johnson</v>
      </c>
      <c r="L509">
        <f>_xlfn.XLOOKUP(B509,zones_lookup!A:A,zones_lookup!C:C,"Not found")</f>
        <v>241000</v>
      </c>
    </row>
    <row r="510" spans="1:12" x14ac:dyDescent="0.3">
      <c r="A510" s="2">
        <v>45835</v>
      </c>
      <c r="B510" t="s">
        <v>76</v>
      </c>
      <c r="C510" t="s">
        <v>84</v>
      </c>
      <c r="D510">
        <v>4</v>
      </c>
      <c r="E510">
        <v>22</v>
      </c>
      <c r="F510">
        <v>151.1</v>
      </c>
      <c r="G510">
        <v>1</v>
      </c>
      <c r="H510">
        <v>6</v>
      </c>
      <c r="I510" t="s">
        <v>1667</v>
      </c>
      <c r="J510">
        <v>5.5</v>
      </c>
      <c r="K510" t="str">
        <f>_xlfn.XLOOKUP(B510,zones_lookup!A:A,zones_lookup!B:B,"Not found")</f>
        <v>Mr. Adeyemi</v>
      </c>
      <c r="L510">
        <f>_xlfn.XLOOKUP(B510,zones_lookup!A:A,zones_lookup!C:C,"Not found")</f>
        <v>313000</v>
      </c>
    </row>
    <row r="511" spans="1:12" x14ac:dyDescent="0.3">
      <c r="A511" s="2">
        <v>45938</v>
      </c>
      <c r="B511" t="s">
        <v>60</v>
      </c>
      <c r="C511" t="s">
        <v>64</v>
      </c>
      <c r="D511">
        <v>5</v>
      </c>
      <c r="E511">
        <v>22</v>
      </c>
      <c r="F511">
        <v>212.3</v>
      </c>
      <c r="G511">
        <v>4</v>
      </c>
      <c r="H511">
        <v>10</v>
      </c>
      <c r="I511" t="s">
        <v>1669</v>
      </c>
      <c r="J511">
        <v>4.4000000000000004</v>
      </c>
      <c r="K511" t="str">
        <f>_xlfn.XLOOKUP(B511,zones_lookup!A:A,zones_lookup!B:B,"Not found")</f>
        <v>Mrs. Eze</v>
      </c>
      <c r="L511">
        <f>_xlfn.XLOOKUP(B511,zones_lookup!A:A,zones_lookup!C:C,"Not found")</f>
        <v>535000</v>
      </c>
    </row>
    <row r="512" spans="1:12" x14ac:dyDescent="0.3">
      <c r="A512" s="2">
        <v>45846</v>
      </c>
      <c r="B512" t="s">
        <v>60</v>
      </c>
      <c r="C512" t="s">
        <v>64</v>
      </c>
      <c r="D512">
        <v>3</v>
      </c>
      <c r="E512">
        <v>11.9</v>
      </c>
      <c r="F512">
        <v>85.7</v>
      </c>
      <c r="G512">
        <v>2</v>
      </c>
      <c r="H512">
        <v>7</v>
      </c>
      <c r="I512" t="s">
        <v>1661</v>
      </c>
      <c r="J512">
        <v>3.9666666666666668</v>
      </c>
      <c r="K512" t="str">
        <f>_xlfn.XLOOKUP(B512,zones_lookup!A:A,zones_lookup!B:B,"Not found")</f>
        <v>Mrs. Eze</v>
      </c>
      <c r="L512">
        <f>_xlfn.XLOOKUP(B512,zones_lookup!A:A,zones_lookup!C:C,"Not found")</f>
        <v>535000</v>
      </c>
    </row>
    <row r="513" spans="1:12" x14ac:dyDescent="0.3">
      <c r="A513" s="2">
        <v>45813</v>
      </c>
      <c r="B513" t="s">
        <v>60</v>
      </c>
      <c r="C513" t="s">
        <v>64</v>
      </c>
      <c r="D513">
        <v>6</v>
      </c>
      <c r="E513">
        <v>26.3</v>
      </c>
      <c r="F513">
        <v>231.3</v>
      </c>
      <c r="G513">
        <v>2</v>
      </c>
      <c r="H513">
        <v>6</v>
      </c>
      <c r="I513" t="s">
        <v>1667</v>
      </c>
      <c r="J513">
        <v>4.3833333333333337</v>
      </c>
      <c r="K513" t="str">
        <f>_xlfn.XLOOKUP(B513,zones_lookup!A:A,zones_lookup!B:B,"Not found")</f>
        <v>Mrs. Eze</v>
      </c>
      <c r="L513">
        <f>_xlfn.XLOOKUP(B513,zones_lookup!A:A,zones_lookup!C:C,"Not found")</f>
        <v>535000</v>
      </c>
    </row>
    <row r="514" spans="1:12" x14ac:dyDescent="0.3">
      <c r="A514" s="2">
        <v>45835</v>
      </c>
      <c r="B514" t="s">
        <v>108</v>
      </c>
      <c r="C514" t="s">
        <v>169</v>
      </c>
      <c r="D514">
        <v>6</v>
      </c>
      <c r="E514">
        <v>30.3</v>
      </c>
      <c r="F514">
        <v>238</v>
      </c>
      <c r="G514">
        <v>1</v>
      </c>
      <c r="H514">
        <v>6</v>
      </c>
      <c r="I514" t="s">
        <v>1667</v>
      </c>
      <c r="J514">
        <v>5.05</v>
      </c>
      <c r="K514" t="str">
        <f>_xlfn.XLOOKUP(B514,zones_lookup!A:A,zones_lookup!B:B,"Not found")</f>
        <v>Mrs. Okafor</v>
      </c>
      <c r="L514">
        <f>_xlfn.XLOOKUP(B514,zones_lookup!A:A,zones_lookup!C:C,"Not found")</f>
        <v>503000</v>
      </c>
    </row>
    <row r="515" spans="1:12" x14ac:dyDescent="0.3">
      <c r="A515" s="2">
        <v>45901</v>
      </c>
      <c r="B515" t="s">
        <v>49</v>
      </c>
      <c r="C515" t="s">
        <v>50</v>
      </c>
      <c r="D515">
        <v>2</v>
      </c>
      <c r="E515">
        <v>7.5</v>
      </c>
      <c r="F515">
        <v>72.599999999999994</v>
      </c>
      <c r="G515">
        <v>3</v>
      </c>
      <c r="H515">
        <v>9</v>
      </c>
      <c r="I515" t="s">
        <v>1670</v>
      </c>
      <c r="J515">
        <v>3.75</v>
      </c>
      <c r="K515" t="str">
        <f>_xlfn.XLOOKUP(B515,zones_lookup!A:A,zones_lookup!B:B,"Not found")</f>
        <v>Mrs. Johnson</v>
      </c>
      <c r="L515">
        <f>_xlfn.XLOOKUP(B515,zones_lookup!A:A,zones_lookup!C:C,"Not found")</f>
        <v>241000</v>
      </c>
    </row>
    <row r="516" spans="1:12" x14ac:dyDescent="0.3">
      <c r="A516" s="2">
        <v>45716</v>
      </c>
      <c r="B516" t="s">
        <v>93</v>
      </c>
      <c r="C516" t="s">
        <v>101</v>
      </c>
      <c r="D516">
        <v>2</v>
      </c>
      <c r="E516">
        <v>6.8</v>
      </c>
      <c r="F516">
        <v>80.8</v>
      </c>
      <c r="G516">
        <v>3</v>
      </c>
      <c r="H516">
        <v>2</v>
      </c>
      <c r="I516" t="s">
        <v>1665</v>
      </c>
      <c r="J516">
        <v>3.4</v>
      </c>
      <c r="K516" t="str">
        <f>_xlfn.XLOOKUP(B516,zones_lookup!A:A,zones_lookup!B:B,"Not found")</f>
        <v>Mr. Ogunleye</v>
      </c>
      <c r="L516">
        <f>_xlfn.XLOOKUP(B516,zones_lookup!A:A,zones_lookup!C:C,"Not found")</f>
        <v>181000</v>
      </c>
    </row>
    <row r="517" spans="1:12" x14ac:dyDescent="0.3">
      <c r="A517" s="2">
        <v>45829</v>
      </c>
      <c r="B517" t="s">
        <v>76</v>
      </c>
      <c r="C517" t="s">
        <v>84</v>
      </c>
      <c r="D517">
        <v>6</v>
      </c>
      <c r="E517">
        <v>40.700000000000003</v>
      </c>
      <c r="F517">
        <v>260.7</v>
      </c>
      <c r="G517">
        <v>2</v>
      </c>
      <c r="H517">
        <v>6</v>
      </c>
      <c r="I517" t="s">
        <v>1667</v>
      </c>
      <c r="J517">
        <v>6.7833333333333341</v>
      </c>
      <c r="K517" t="str">
        <f>_xlfn.XLOOKUP(B517,zones_lookup!A:A,zones_lookup!B:B,"Not found")</f>
        <v>Mr. Adeyemi</v>
      </c>
      <c r="L517">
        <f>_xlfn.XLOOKUP(B517,zones_lookup!A:A,zones_lookup!C:C,"Not found")</f>
        <v>313000</v>
      </c>
    </row>
    <row r="518" spans="1:12" x14ac:dyDescent="0.3">
      <c r="A518" s="2">
        <v>45719</v>
      </c>
      <c r="B518" t="s">
        <v>89</v>
      </c>
      <c r="C518" t="s">
        <v>131</v>
      </c>
      <c r="D518">
        <v>5</v>
      </c>
      <c r="E518">
        <v>25.3</v>
      </c>
      <c r="F518">
        <v>183.4</v>
      </c>
      <c r="G518">
        <v>2</v>
      </c>
      <c r="H518">
        <v>3</v>
      </c>
      <c r="I518" t="s">
        <v>1662</v>
      </c>
      <c r="J518">
        <v>5.0600000000000005</v>
      </c>
      <c r="K518" t="str">
        <f>_xlfn.XLOOKUP(B518,zones_lookup!A:A,zones_lookup!B:B,"Not found")</f>
        <v>Mr. Salami</v>
      </c>
      <c r="L518">
        <f>_xlfn.XLOOKUP(B518,zones_lookup!A:A,zones_lookup!C:C,"Not found")</f>
        <v>200000</v>
      </c>
    </row>
    <row r="519" spans="1:12" x14ac:dyDescent="0.3">
      <c r="A519" s="2">
        <v>45893</v>
      </c>
      <c r="B519" t="s">
        <v>76</v>
      </c>
      <c r="C519" t="s">
        <v>84</v>
      </c>
      <c r="D519">
        <v>4</v>
      </c>
      <c r="E519">
        <v>30.3</v>
      </c>
      <c r="F519">
        <v>174</v>
      </c>
      <c r="G519">
        <v>0</v>
      </c>
      <c r="H519">
        <v>8</v>
      </c>
      <c r="I519" t="s">
        <v>1666</v>
      </c>
      <c r="J519">
        <v>7.5750000000000002</v>
      </c>
      <c r="K519" t="str">
        <f>_xlfn.XLOOKUP(B519,zones_lookup!A:A,zones_lookup!B:B,"Not found")</f>
        <v>Mr. Adeyemi</v>
      </c>
      <c r="L519">
        <f>_xlfn.XLOOKUP(B519,zones_lookup!A:A,zones_lookup!C:C,"Not found")</f>
        <v>313000</v>
      </c>
    </row>
    <row r="520" spans="1:12" x14ac:dyDescent="0.3">
      <c r="A520" s="2">
        <v>45850</v>
      </c>
      <c r="B520" t="s">
        <v>49</v>
      </c>
      <c r="C520" t="s">
        <v>50</v>
      </c>
      <c r="D520">
        <v>4</v>
      </c>
      <c r="E520">
        <v>15.7</v>
      </c>
      <c r="F520">
        <v>177.2</v>
      </c>
      <c r="G520">
        <v>2</v>
      </c>
      <c r="H520">
        <v>7</v>
      </c>
      <c r="I520" t="s">
        <v>1661</v>
      </c>
      <c r="J520">
        <v>3.9249999999999998</v>
      </c>
      <c r="K520" t="str">
        <f>_xlfn.XLOOKUP(B520,zones_lookup!A:A,zones_lookup!B:B,"Not found")</f>
        <v>Mrs. Johnson</v>
      </c>
      <c r="L520">
        <f>_xlfn.XLOOKUP(B520,zones_lookup!A:A,zones_lookup!C:C,"Not found")</f>
        <v>241000</v>
      </c>
    </row>
    <row r="521" spans="1:12" x14ac:dyDescent="0.3">
      <c r="A521" s="2">
        <v>45891</v>
      </c>
      <c r="B521" t="s">
        <v>108</v>
      </c>
      <c r="C521" t="s">
        <v>109</v>
      </c>
      <c r="D521">
        <v>2</v>
      </c>
      <c r="E521">
        <v>11.3</v>
      </c>
      <c r="F521">
        <v>74.400000000000006</v>
      </c>
      <c r="G521">
        <v>1</v>
      </c>
      <c r="H521">
        <v>8</v>
      </c>
      <c r="I521" t="s">
        <v>1666</v>
      </c>
      <c r="J521">
        <v>5.65</v>
      </c>
      <c r="K521" t="str">
        <f>_xlfn.XLOOKUP(B521,zones_lookup!A:A,zones_lookup!B:B,"Not found")</f>
        <v>Mrs. Okafor</v>
      </c>
      <c r="L521">
        <f>_xlfn.XLOOKUP(B521,zones_lookup!A:A,zones_lookup!C:C,"Not found")</f>
        <v>503000</v>
      </c>
    </row>
    <row r="522" spans="1:12" x14ac:dyDescent="0.3">
      <c r="A522" s="2">
        <v>45754</v>
      </c>
      <c r="B522" t="s">
        <v>27</v>
      </c>
      <c r="C522" t="s">
        <v>31</v>
      </c>
      <c r="D522">
        <v>3</v>
      </c>
      <c r="E522">
        <v>16.399999999999999</v>
      </c>
      <c r="F522">
        <v>102.6</v>
      </c>
      <c r="G522">
        <v>2</v>
      </c>
      <c r="H522">
        <v>4</v>
      </c>
      <c r="I522" t="s">
        <v>1668</v>
      </c>
      <c r="J522">
        <v>5.4666666666666659</v>
      </c>
      <c r="K522" t="str">
        <f>_xlfn.XLOOKUP(B522,zones_lookup!A:A,zones_lookup!B:B,"Not found")</f>
        <v>Mr. Bello</v>
      </c>
      <c r="L522">
        <f>_xlfn.XLOOKUP(B522,zones_lookup!A:A,zones_lookup!C:C,"Not found")</f>
        <v>1288000</v>
      </c>
    </row>
    <row r="523" spans="1:12" x14ac:dyDescent="0.3">
      <c r="A523" s="2">
        <v>45712</v>
      </c>
      <c r="B523" t="s">
        <v>49</v>
      </c>
      <c r="C523" t="s">
        <v>50</v>
      </c>
      <c r="D523">
        <v>3</v>
      </c>
      <c r="E523">
        <v>10.5</v>
      </c>
      <c r="F523">
        <v>120.8</v>
      </c>
      <c r="G523">
        <v>1</v>
      </c>
      <c r="H523">
        <v>2</v>
      </c>
      <c r="I523" t="s">
        <v>1665</v>
      </c>
      <c r="J523">
        <v>3.5</v>
      </c>
      <c r="K523" t="str">
        <f>_xlfn.XLOOKUP(B523,zones_lookup!A:A,zones_lookup!B:B,"Not found")</f>
        <v>Mrs. Johnson</v>
      </c>
      <c r="L523">
        <f>_xlfn.XLOOKUP(B523,zones_lookup!A:A,zones_lookup!C:C,"Not found")</f>
        <v>241000</v>
      </c>
    </row>
    <row r="524" spans="1:12" x14ac:dyDescent="0.3">
      <c r="A524" s="2">
        <v>45727</v>
      </c>
      <c r="B524" t="s">
        <v>76</v>
      </c>
      <c r="C524" t="s">
        <v>84</v>
      </c>
      <c r="D524">
        <v>5</v>
      </c>
      <c r="E524">
        <v>29</v>
      </c>
      <c r="F524">
        <v>188.1</v>
      </c>
      <c r="G524">
        <v>2</v>
      </c>
      <c r="H524">
        <v>3</v>
      </c>
      <c r="I524" t="s">
        <v>1662</v>
      </c>
      <c r="J524">
        <v>5.8</v>
      </c>
      <c r="K524" t="str">
        <f>_xlfn.XLOOKUP(B524,zones_lookup!A:A,zones_lookup!B:B,"Not found")</f>
        <v>Mr. Adeyemi</v>
      </c>
      <c r="L524">
        <f>_xlfn.XLOOKUP(B524,zones_lookup!A:A,zones_lookup!C:C,"Not found")</f>
        <v>313000</v>
      </c>
    </row>
    <row r="525" spans="1:12" x14ac:dyDescent="0.3">
      <c r="A525" s="2">
        <v>45714</v>
      </c>
      <c r="B525" t="s">
        <v>27</v>
      </c>
      <c r="C525" t="s">
        <v>31</v>
      </c>
      <c r="D525">
        <v>6</v>
      </c>
      <c r="E525">
        <v>49.4</v>
      </c>
      <c r="F525">
        <v>309.3</v>
      </c>
      <c r="G525">
        <v>1</v>
      </c>
      <c r="H525">
        <v>2</v>
      </c>
      <c r="I525" t="s">
        <v>1665</v>
      </c>
      <c r="J525">
        <v>8.2333333333333325</v>
      </c>
      <c r="K525" t="str">
        <f>_xlfn.XLOOKUP(B525,zones_lookup!A:A,zones_lookup!B:B,"Not found")</f>
        <v>Mr. Bello</v>
      </c>
      <c r="L525">
        <f>_xlfn.XLOOKUP(B525,zones_lookup!A:A,zones_lookup!C:C,"Not found")</f>
        <v>1288000</v>
      </c>
    </row>
    <row r="526" spans="1:12" x14ac:dyDescent="0.3">
      <c r="A526" s="2">
        <v>45872</v>
      </c>
      <c r="B526" t="s">
        <v>27</v>
      </c>
      <c r="C526" t="s">
        <v>28</v>
      </c>
      <c r="D526">
        <v>3</v>
      </c>
      <c r="E526">
        <v>20.2</v>
      </c>
      <c r="G526">
        <v>1</v>
      </c>
      <c r="H526">
        <v>8</v>
      </c>
      <c r="I526" t="s">
        <v>1666</v>
      </c>
      <c r="J526">
        <v>6.7333333333333334</v>
      </c>
      <c r="K526" t="str">
        <f>_xlfn.XLOOKUP(B526,zones_lookup!A:A,zones_lookup!B:B,"Not found")</f>
        <v>Mr. Bello</v>
      </c>
      <c r="L526">
        <f>_xlfn.XLOOKUP(B526,zones_lookup!A:A,zones_lookup!C:C,"Not found")</f>
        <v>1288000</v>
      </c>
    </row>
    <row r="527" spans="1:12" x14ac:dyDescent="0.3">
      <c r="A527" s="2">
        <v>45937</v>
      </c>
      <c r="B527" t="s">
        <v>76</v>
      </c>
      <c r="C527" t="s">
        <v>80</v>
      </c>
      <c r="D527">
        <v>4</v>
      </c>
      <c r="E527">
        <v>29.2</v>
      </c>
      <c r="F527">
        <v>166.2</v>
      </c>
      <c r="G527">
        <v>1</v>
      </c>
      <c r="H527">
        <v>10</v>
      </c>
      <c r="I527" t="s">
        <v>1669</v>
      </c>
      <c r="J527">
        <v>7.3</v>
      </c>
      <c r="K527" t="str">
        <f>_xlfn.XLOOKUP(B527,zones_lookup!A:A,zones_lookup!B:B,"Not found")</f>
        <v>Mr. Adeyemi</v>
      </c>
      <c r="L527">
        <f>_xlfn.XLOOKUP(B527,zones_lookup!A:A,zones_lookup!C:C,"Not found")</f>
        <v>313000</v>
      </c>
    </row>
    <row r="528" spans="1:12" x14ac:dyDescent="0.3">
      <c r="A528" s="2">
        <v>45918</v>
      </c>
      <c r="B528" t="s">
        <v>76</v>
      </c>
      <c r="C528" t="s">
        <v>80</v>
      </c>
      <c r="D528">
        <v>2</v>
      </c>
      <c r="E528">
        <v>12</v>
      </c>
      <c r="F528">
        <v>85.4</v>
      </c>
      <c r="G528">
        <v>0</v>
      </c>
      <c r="H528">
        <v>9</v>
      </c>
      <c r="I528" t="s">
        <v>1670</v>
      </c>
      <c r="J528">
        <v>6</v>
      </c>
      <c r="K528" t="str">
        <f>_xlfn.XLOOKUP(B528,zones_lookup!A:A,zones_lookup!B:B,"Not found")</f>
        <v>Mr. Adeyemi</v>
      </c>
      <c r="L528">
        <f>_xlfn.XLOOKUP(B528,zones_lookup!A:A,zones_lookup!C:C,"Not found")</f>
        <v>313000</v>
      </c>
    </row>
    <row r="529" spans="1:12" x14ac:dyDescent="0.3">
      <c r="A529" s="2">
        <v>45911</v>
      </c>
      <c r="B529" t="s">
        <v>49</v>
      </c>
      <c r="C529" t="s">
        <v>52</v>
      </c>
      <c r="D529">
        <v>5</v>
      </c>
      <c r="E529">
        <v>17.399999999999999</v>
      </c>
      <c r="G529">
        <v>2</v>
      </c>
      <c r="H529">
        <v>9</v>
      </c>
      <c r="I529" t="s">
        <v>1670</v>
      </c>
      <c r="J529">
        <v>3.4799999999999995</v>
      </c>
      <c r="K529" t="str">
        <f>_xlfn.XLOOKUP(B529,zones_lookup!A:A,zones_lookup!B:B,"Not found")</f>
        <v>Mrs. Johnson</v>
      </c>
      <c r="L529">
        <f>_xlfn.XLOOKUP(B529,zones_lookup!A:A,zones_lookup!C:C,"Not found")</f>
        <v>241000</v>
      </c>
    </row>
    <row r="530" spans="1:12" x14ac:dyDescent="0.3">
      <c r="A530" s="2">
        <v>45729</v>
      </c>
      <c r="B530" t="s">
        <v>41</v>
      </c>
      <c r="C530" t="s">
        <v>46</v>
      </c>
      <c r="D530">
        <v>4</v>
      </c>
      <c r="E530">
        <v>31.2</v>
      </c>
      <c r="F530">
        <v>136.9</v>
      </c>
      <c r="G530">
        <v>0</v>
      </c>
      <c r="H530">
        <v>3</v>
      </c>
      <c r="I530" t="s">
        <v>1662</v>
      </c>
      <c r="J530">
        <v>7.8</v>
      </c>
      <c r="K530" t="str">
        <f>_xlfn.XLOOKUP(B530,zones_lookup!A:A,zones_lookup!B:B,"Not found")</f>
        <v>Mrs. Adisa</v>
      </c>
      <c r="L530">
        <f>_xlfn.XLOOKUP(B530,zones_lookup!A:A,zones_lookup!C:C,"Not found")</f>
        <v>633000</v>
      </c>
    </row>
    <row r="531" spans="1:12" x14ac:dyDescent="0.3">
      <c r="A531" s="2">
        <v>45700</v>
      </c>
      <c r="B531" t="s">
        <v>76</v>
      </c>
      <c r="C531" t="s">
        <v>80</v>
      </c>
      <c r="D531">
        <v>2</v>
      </c>
      <c r="E531">
        <v>9</v>
      </c>
      <c r="F531">
        <v>83</v>
      </c>
      <c r="G531">
        <v>1</v>
      </c>
      <c r="H531">
        <v>2</v>
      </c>
      <c r="I531" t="s">
        <v>1665</v>
      </c>
      <c r="J531">
        <v>4.5</v>
      </c>
      <c r="K531" t="str">
        <f>_xlfn.XLOOKUP(B531,zones_lookup!A:A,zones_lookup!B:B,"Not found")</f>
        <v>Mr. Adeyemi</v>
      </c>
      <c r="L531">
        <f>_xlfn.XLOOKUP(B531,zones_lookup!A:A,zones_lookup!C:C,"Not found")</f>
        <v>313000</v>
      </c>
    </row>
    <row r="532" spans="1:12" x14ac:dyDescent="0.3">
      <c r="A532" s="2">
        <v>45659</v>
      </c>
      <c r="B532" t="s">
        <v>27</v>
      </c>
      <c r="C532" t="s">
        <v>31</v>
      </c>
      <c r="D532">
        <v>5</v>
      </c>
      <c r="E532">
        <v>40.700000000000003</v>
      </c>
      <c r="F532">
        <v>176.5</v>
      </c>
      <c r="G532">
        <v>1</v>
      </c>
      <c r="H532">
        <v>1</v>
      </c>
      <c r="I532" t="s">
        <v>1660</v>
      </c>
      <c r="J532">
        <v>8.14</v>
      </c>
      <c r="K532" t="str">
        <f>_xlfn.XLOOKUP(B532,zones_lookup!A:A,zones_lookup!B:B,"Not found")</f>
        <v>Mr. Bello</v>
      </c>
      <c r="L532">
        <f>_xlfn.XLOOKUP(B532,zones_lookup!A:A,zones_lookup!C:C,"Not found")</f>
        <v>1288000</v>
      </c>
    </row>
    <row r="533" spans="1:12" x14ac:dyDescent="0.3">
      <c r="A533" s="2">
        <v>45683</v>
      </c>
      <c r="B533" t="s">
        <v>108</v>
      </c>
      <c r="C533" t="s">
        <v>169</v>
      </c>
      <c r="D533">
        <v>6</v>
      </c>
      <c r="E533">
        <v>38.4</v>
      </c>
      <c r="F533">
        <v>175.1</v>
      </c>
      <c r="G533">
        <v>2</v>
      </c>
      <c r="H533">
        <v>1</v>
      </c>
      <c r="I533" t="s">
        <v>1660</v>
      </c>
      <c r="J533">
        <v>6.3999999999999995</v>
      </c>
      <c r="K533" t="str">
        <f>_xlfn.XLOOKUP(B533,zones_lookup!A:A,zones_lookup!B:B,"Not found")</f>
        <v>Mrs. Okafor</v>
      </c>
      <c r="L533">
        <f>_xlfn.XLOOKUP(B533,zones_lookup!A:A,zones_lookup!C:C,"Not found")</f>
        <v>503000</v>
      </c>
    </row>
    <row r="534" spans="1:12" x14ac:dyDescent="0.3">
      <c r="A534" s="2">
        <v>45761</v>
      </c>
      <c r="B534" t="s">
        <v>76</v>
      </c>
      <c r="C534" t="s">
        <v>80</v>
      </c>
      <c r="D534">
        <v>4</v>
      </c>
      <c r="E534">
        <v>26.9</v>
      </c>
      <c r="F534">
        <v>163.80000000000001</v>
      </c>
      <c r="G534">
        <v>1</v>
      </c>
      <c r="H534">
        <v>4</v>
      </c>
      <c r="I534" t="s">
        <v>1668</v>
      </c>
      <c r="J534">
        <v>6.7249999999999996</v>
      </c>
      <c r="K534" t="str">
        <f>_xlfn.XLOOKUP(B534,zones_lookup!A:A,zones_lookup!B:B,"Not found")</f>
        <v>Mr. Adeyemi</v>
      </c>
      <c r="L534">
        <f>_xlfn.XLOOKUP(B534,zones_lookup!A:A,zones_lookup!C:C,"Not found")</f>
        <v>313000</v>
      </c>
    </row>
    <row r="535" spans="1:12" x14ac:dyDescent="0.3">
      <c r="A535" s="2">
        <v>45834</v>
      </c>
      <c r="B535" t="s">
        <v>49</v>
      </c>
      <c r="C535" t="s">
        <v>66</v>
      </c>
      <c r="D535">
        <v>5</v>
      </c>
      <c r="E535">
        <v>18.5</v>
      </c>
      <c r="F535">
        <v>184.6</v>
      </c>
      <c r="G535">
        <v>0</v>
      </c>
      <c r="H535">
        <v>6</v>
      </c>
      <c r="I535" t="s">
        <v>1667</v>
      </c>
      <c r="J535">
        <v>3.7</v>
      </c>
      <c r="K535" t="str">
        <f>_xlfn.XLOOKUP(B535,zones_lookup!A:A,zones_lookup!B:B,"Not found")</f>
        <v>Mrs. Johnson</v>
      </c>
      <c r="L535">
        <f>_xlfn.XLOOKUP(B535,zones_lookup!A:A,zones_lookup!C:C,"Not found")</f>
        <v>241000</v>
      </c>
    </row>
    <row r="536" spans="1:12" x14ac:dyDescent="0.3">
      <c r="A536" s="2">
        <v>45967</v>
      </c>
      <c r="B536" t="s">
        <v>60</v>
      </c>
      <c r="C536" t="s">
        <v>61</v>
      </c>
      <c r="D536">
        <v>2</v>
      </c>
      <c r="E536">
        <v>7.4</v>
      </c>
      <c r="F536">
        <v>72.5</v>
      </c>
      <c r="G536">
        <v>4</v>
      </c>
      <c r="H536">
        <v>11</v>
      </c>
      <c r="I536" t="s">
        <v>1664</v>
      </c>
      <c r="J536">
        <v>3.7</v>
      </c>
      <c r="K536" t="str">
        <f>_xlfn.XLOOKUP(B536,zones_lookup!A:A,zones_lookup!B:B,"Not found")</f>
        <v>Mrs. Eze</v>
      </c>
      <c r="L536">
        <f>_xlfn.XLOOKUP(B536,zones_lookup!A:A,zones_lookup!C:C,"Not found")</f>
        <v>535000</v>
      </c>
    </row>
    <row r="537" spans="1:12" x14ac:dyDescent="0.3">
      <c r="A537" s="2">
        <v>45753</v>
      </c>
      <c r="B537" t="s">
        <v>108</v>
      </c>
      <c r="C537" t="s">
        <v>169</v>
      </c>
      <c r="D537">
        <v>3</v>
      </c>
      <c r="E537">
        <v>19</v>
      </c>
      <c r="F537">
        <v>132.30000000000001</v>
      </c>
      <c r="G537">
        <v>2</v>
      </c>
      <c r="H537">
        <v>4</v>
      </c>
      <c r="I537" t="s">
        <v>1668</v>
      </c>
      <c r="J537">
        <v>6.333333333333333</v>
      </c>
      <c r="K537" t="str">
        <f>_xlfn.XLOOKUP(B537,zones_lookup!A:A,zones_lookup!B:B,"Not found")</f>
        <v>Mrs. Okafor</v>
      </c>
      <c r="L537">
        <f>_xlfn.XLOOKUP(B537,zones_lookup!A:A,zones_lookup!C:C,"Not found")</f>
        <v>503000</v>
      </c>
    </row>
    <row r="538" spans="1:12" x14ac:dyDescent="0.3">
      <c r="A538" s="2">
        <v>45759</v>
      </c>
      <c r="B538" t="s">
        <v>60</v>
      </c>
      <c r="C538" t="s">
        <v>69</v>
      </c>
      <c r="D538">
        <v>2</v>
      </c>
      <c r="E538">
        <v>8.4</v>
      </c>
      <c r="F538">
        <v>61.5</v>
      </c>
      <c r="G538">
        <v>8</v>
      </c>
      <c r="H538">
        <v>4</v>
      </c>
      <c r="I538" t="s">
        <v>1668</v>
      </c>
      <c r="J538">
        <v>4.2</v>
      </c>
      <c r="K538" t="str">
        <f>_xlfn.XLOOKUP(B538,zones_lookup!A:A,zones_lookup!B:B,"Not found")</f>
        <v>Mrs. Eze</v>
      </c>
      <c r="L538">
        <f>_xlfn.XLOOKUP(B538,zones_lookup!A:A,zones_lookup!C:C,"Not found")</f>
        <v>535000</v>
      </c>
    </row>
    <row r="539" spans="1:12" x14ac:dyDescent="0.3">
      <c r="A539" s="2">
        <v>45740</v>
      </c>
      <c r="B539" t="s">
        <v>60</v>
      </c>
      <c r="C539" t="s">
        <v>61</v>
      </c>
      <c r="D539">
        <v>4</v>
      </c>
      <c r="E539">
        <v>18.3</v>
      </c>
      <c r="F539">
        <v>152.6</v>
      </c>
      <c r="G539">
        <v>2</v>
      </c>
      <c r="H539">
        <v>3</v>
      </c>
      <c r="I539" t="s">
        <v>1662</v>
      </c>
      <c r="J539">
        <v>4.5750000000000002</v>
      </c>
      <c r="K539" t="str">
        <f>_xlfn.XLOOKUP(B539,zones_lookup!A:A,zones_lookup!B:B,"Not found")</f>
        <v>Mrs. Eze</v>
      </c>
      <c r="L539">
        <f>_xlfn.XLOOKUP(B539,zones_lookup!A:A,zones_lookup!C:C,"Not found")</f>
        <v>535000</v>
      </c>
    </row>
    <row r="540" spans="1:12" x14ac:dyDescent="0.3">
      <c r="A540" s="2">
        <v>45791</v>
      </c>
      <c r="B540" t="s">
        <v>60</v>
      </c>
      <c r="C540" t="s">
        <v>64</v>
      </c>
      <c r="D540">
        <v>4</v>
      </c>
      <c r="E540">
        <v>14.9</v>
      </c>
      <c r="F540">
        <v>188.2</v>
      </c>
      <c r="G540">
        <v>4</v>
      </c>
      <c r="H540">
        <v>5</v>
      </c>
      <c r="I540" t="s">
        <v>1663</v>
      </c>
      <c r="J540">
        <v>3.7250000000000001</v>
      </c>
      <c r="K540" t="str">
        <f>_xlfn.XLOOKUP(B540,zones_lookup!A:A,zones_lookup!B:B,"Not found")</f>
        <v>Mrs. Eze</v>
      </c>
      <c r="L540">
        <f>_xlfn.XLOOKUP(B540,zones_lookup!A:A,zones_lookup!C:C,"Not found")</f>
        <v>535000</v>
      </c>
    </row>
    <row r="541" spans="1:12" x14ac:dyDescent="0.3">
      <c r="A541" s="2">
        <v>45833</v>
      </c>
      <c r="B541" t="s">
        <v>76</v>
      </c>
      <c r="C541" t="s">
        <v>77</v>
      </c>
      <c r="D541">
        <v>2</v>
      </c>
      <c r="E541">
        <v>12.8</v>
      </c>
      <c r="F541">
        <v>57.1</v>
      </c>
      <c r="G541">
        <v>0</v>
      </c>
      <c r="H541">
        <v>6</v>
      </c>
      <c r="I541" t="s">
        <v>1667</v>
      </c>
      <c r="J541">
        <v>6.4</v>
      </c>
      <c r="K541" t="str">
        <f>_xlfn.XLOOKUP(B541,zones_lookup!A:A,zones_lookup!B:B,"Not found")</f>
        <v>Mr. Adeyemi</v>
      </c>
      <c r="L541">
        <f>_xlfn.XLOOKUP(B541,zones_lookup!A:A,zones_lookup!C:C,"Not found")</f>
        <v>313000</v>
      </c>
    </row>
    <row r="542" spans="1:12" x14ac:dyDescent="0.3">
      <c r="A542" s="2">
        <v>45720</v>
      </c>
      <c r="B542" t="s">
        <v>27</v>
      </c>
      <c r="C542" t="s">
        <v>38</v>
      </c>
      <c r="D542">
        <v>5</v>
      </c>
      <c r="E542">
        <v>41.2</v>
      </c>
      <c r="F542">
        <v>179.3</v>
      </c>
      <c r="G542">
        <v>1</v>
      </c>
      <c r="H542">
        <v>3</v>
      </c>
      <c r="I542" t="s">
        <v>1662</v>
      </c>
      <c r="J542">
        <v>8.24</v>
      </c>
      <c r="K542" t="str">
        <f>_xlfn.XLOOKUP(B542,zones_lookup!A:A,zones_lookup!B:B,"Not found")</f>
        <v>Mr. Bello</v>
      </c>
      <c r="L542">
        <f>_xlfn.XLOOKUP(B542,zones_lookup!A:A,zones_lookup!C:C,"Not found")</f>
        <v>1288000</v>
      </c>
    </row>
    <row r="543" spans="1:12" x14ac:dyDescent="0.3">
      <c r="A543" s="2">
        <v>45902</v>
      </c>
      <c r="B543" t="s">
        <v>89</v>
      </c>
      <c r="C543" t="s">
        <v>131</v>
      </c>
      <c r="D543">
        <v>6</v>
      </c>
      <c r="E543">
        <v>34.5</v>
      </c>
      <c r="F543">
        <v>208</v>
      </c>
      <c r="G543">
        <v>2</v>
      </c>
      <c r="H543">
        <v>9</v>
      </c>
      <c r="I543" t="s">
        <v>1670</v>
      </c>
      <c r="J543">
        <v>5.75</v>
      </c>
      <c r="K543" t="str">
        <f>_xlfn.XLOOKUP(B543,zones_lookup!A:A,zones_lookup!B:B,"Not found")</f>
        <v>Mr. Salami</v>
      </c>
      <c r="L543">
        <f>_xlfn.XLOOKUP(B543,zones_lookup!A:A,zones_lookup!C:C,"Not found")</f>
        <v>200000</v>
      </c>
    </row>
    <row r="544" spans="1:12" x14ac:dyDescent="0.3">
      <c r="A544" s="2">
        <v>45930</v>
      </c>
      <c r="B544" t="s">
        <v>93</v>
      </c>
      <c r="C544" t="s">
        <v>57</v>
      </c>
      <c r="D544">
        <v>5</v>
      </c>
      <c r="E544">
        <v>18.5</v>
      </c>
      <c r="F544">
        <v>184.3</v>
      </c>
      <c r="G544">
        <v>1</v>
      </c>
      <c r="H544">
        <v>9</v>
      </c>
      <c r="I544" t="s">
        <v>1670</v>
      </c>
      <c r="J544">
        <v>3.7</v>
      </c>
      <c r="K544" t="str">
        <f>_xlfn.XLOOKUP(B544,zones_lookup!A:A,zones_lookup!B:B,"Not found")</f>
        <v>Mr. Ogunleye</v>
      </c>
      <c r="L544">
        <f>_xlfn.XLOOKUP(B544,zones_lookup!A:A,zones_lookup!C:C,"Not found")</f>
        <v>181000</v>
      </c>
    </row>
    <row r="545" spans="1:12" x14ac:dyDescent="0.3">
      <c r="A545" s="2">
        <v>45810</v>
      </c>
      <c r="B545" t="s">
        <v>76</v>
      </c>
      <c r="C545" t="s">
        <v>84</v>
      </c>
      <c r="D545">
        <v>4</v>
      </c>
      <c r="E545">
        <v>25.4</v>
      </c>
      <c r="F545">
        <v>155.9</v>
      </c>
      <c r="G545">
        <v>1</v>
      </c>
      <c r="H545">
        <v>6</v>
      </c>
      <c r="I545" t="s">
        <v>1667</v>
      </c>
      <c r="J545">
        <v>6.35</v>
      </c>
      <c r="K545" t="str">
        <f>_xlfn.XLOOKUP(B545,zones_lookup!A:A,zones_lookup!B:B,"Not found")</f>
        <v>Mr. Adeyemi</v>
      </c>
      <c r="L545">
        <f>_xlfn.XLOOKUP(B545,zones_lookup!A:A,zones_lookup!C:C,"Not found")</f>
        <v>313000</v>
      </c>
    </row>
    <row r="546" spans="1:12" x14ac:dyDescent="0.3">
      <c r="A546" s="2">
        <v>45786</v>
      </c>
      <c r="B546" t="s">
        <v>76</v>
      </c>
      <c r="C546" t="s">
        <v>80</v>
      </c>
      <c r="D546">
        <v>6</v>
      </c>
      <c r="E546">
        <v>46.8</v>
      </c>
      <c r="F546">
        <v>205.8</v>
      </c>
      <c r="G546">
        <v>0</v>
      </c>
      <c r="H546">
        <v>5</v>
      </c>
      <c r="I546" t="s">
        <v>1663</v>
      </c>
      <c r="J546">
        <v>7.8</v>
      </c>
      <c r="K546" t="str">
        <f>_xlfn.XLOOKUP(B546,zones_lookup!A:A,zones_lookup!B:B,"Not found")</f>
        <v>Mr. Adeyemi</v>
      </c>
      <c r="L546">
        <f>_xlfn.XLOOKUP(B546,zones_lookup!A:A,zones_lookup!C:C,"Not found")</f>
        <v>313000</v>
      </c>
    </row>
    <row r="547" spans="1:12" x14ac:dyDescent="0.3">
      <c r="A547" s="2">
        <v>45775</v>
      </c>
      <c r="B547" t="s">
        <v>41</v>
      </c>
      <c r="C547" t="s">
        <v>46</v>
      </c>
      <c r="D547">
        <v>3</v>
      </c>
      <c r="E547">
        <v>24.2</v>
      </c>
      <c r="F547">
        <v>133.19999999999999</v>
      </c>
      <c r="G547">
        <v>1</v>
      </c>
      <c r="H547">
        <v>4</v>
      </c>
      <c r="I547" t="s">
        <v>1668</v>
      </c>
      <c r="J547">
        <v>8.0666666666666664</v>
      </c>
      <c r="K547" t="str">
        <f>_xlfn.XLOOKUP(B547,zones_lookup!A:A,zones_lookup!B:B,"Not found")</f>
        <v>Mrs. Adisa</v>
      </c>
      <c r="L547">
        <f>_xlfn.XLOOKUP(B547,zones_lookup!A:A,zones_lookup!C:C,"Not found")</f>
        <v>633000</v>
      </c>
    </row>
    <row r="548" spans="1:12" x14ac:dyDescent="0.3">
      <c r="A548" s="2">
        <v>45924</v>
      </c>
      <c r="B548" t="s">
        <v>60</v>
      </c>
      <c r="C548" t="s">
        <v>69</v>
      </c>
      <c r="D548">
        <v>4</v>
      </c>
      <c r="E548">
        <v>18.7</v>
      </c>
      <c r="F548">
        <v>138.9</v>
      </c>
      <c r="G548">
        <v>5</v>
      </c>
      <c r="H548">
        <v>9</v>
      </c>
      <c r="I548" t="s">
        <v>1670</v>
      </c>
      <c r="J548">
        <v>4.6749999999999998</v>
      </c>
      <c r="K548" t="str">
        <f>_xlfn.XLOOKUP(B548,zones_lookup!A:A,zones_lookup!B:B,"Not found")</f>
        <v>Mrs. Eze</v>
      </c>
      <c r="L548">
        <f>_xlfn.XLOOKUP(B548,zones_lookup!A:A,zones_lookup!C:C,"Not found")</f>
        <v>535000</v>
      </c>
    </row>
    <row r="549" spans="1:12" x14ac:dyDescent="0.3">
      <c r="A549" s="2">
        <v>45812</v>
      </c>
      <c r="B549" t="s">
        <v>89</v>
      </c>
      <c r="C549" t="s">
        <v>90</v>
      </c>
      <c r="D549">
        <v>2</v>
      </c>
      <c r="E549">
        <v>10.6</v>
      </c>
      <c r="F549">
        <v>68.099999999999994</v>
      </c>
      <c r="G549">
        <v>0</v>
      </c>
      <c r="H549">
        <v>6</v>
      </c>
      <c r="I549" t="s">
        <v>1667</v>
      </c>
      <c r="J549">
        <v>5.3</v>
      </c>
      <c r="K549" t="str">
        <f>_xlfn.XLOOKUP(B549,zones_lookup!A:A,zones_lookup!B:B,"Not found")</f>
        <v>Mr. Salami</v>
      </c>
      <c r="L549">
        <f>_xlfn.XLOOKUP(B549,zones_lookup!A:A,zones_lookup!C:C,"Not found")</f>
        <v>200000</v>
      </c>
    </row>
    <row r="550" spans="1:12" x14ac:dyDescent="0.3">
      <c r="A550" s="2">
        <v>45663</v>
      </c>
      <c r="B550" t="s">
        <v>49</v>
      </c>
      <c r="C550" t="s">
        <v>50</v>
      </c>
      <c r="D550">
        <v>2</v>
      </c>
      <c r="E550">
        <v>7.9</v>
      </c>
      <c r="F550">
        <v>82.4</v>
      </c>
      <c r="G550">
        <v>1</v>
      </c>
      <c r="H550">
        <v>1</v>
      </c>
      <c r="I550" t="s">
        <v>1660</v>
      </c>
      <c r="J550">
        <v>3.95</v>
      </c>
      <c r="K550" t="str">
        <f>_xlfn.XLOOKUP(B550,zones_lookup!A:A,zones_lookup!B:B,"Not found")</f>
        <v>Mrs. Johnson</v>
      </c>
      <c r="L550">
        <f>_xlfn.XLOOKUP(B550,zones_lookup!A:A,zones_lookup!C:C,"Not found")</f>
        <v>241000</v>
      </c>
    </row>
    <row r="551" spans="1:12" x14ac:dyDescent="0.3">
      <c r="A551" s="2">
        <v>45737</v>
      </c>
      <c r="B551" t="s">
        <v>93</v>
      </c>
      <c r="C551" t="s">
        <v>101</v>
      </c>
      <c r="D551">
        <v>4</v>
      </c>
      <c r="E551">
        <v>16.2</v>
      </c>
      <c r="F551">
        <v>136.69999999999999</v>
      </c>
      <c r="G551">
        <v>3</v>
      </c>
      <c r="H551">
        <v>3</v>
      </c>
      <c r="I551" t="s">
        <v>1662</v>
      </c>
      <c r="J551">
        <v>4.05</v>
      </c>
      <c r="K551" t="str">
        <f>_xlfn.XLOOKUP(B551,zones_lookup!A:A,zones_lookup!B:B,"Not found")</f>
        <v>Mr. Ogunleye</v>
      </c>
      <c r="L551">
        <f>_xlfn.XLOOKUP(B551,zones_lookup!A:A,zones_lookup!C:C,"Not found")</f>
        <v>181000</v>
      </c>
    </row>
    <row r="552" spans="1:12" x14ac:dyDescent="0.3">
      <c r="A552" s="2">
        <v>45924</v>
      </c>
      <c r="B552" t="s">
        <v>49</v>
      </c>
      <c r="C552" t="s">
        <v>52</v>
      </c>
      <c r="D552">
        <v>2</v>
      </c>
      <c r="E552">
        <v>8.9</v>
      </c>
      <c r="F552">
        <v>88.6</v>
      </c>
      <c r="H552">
        <v>9</v>
      </c>
      <c r="I552" t="s">
        <v>1670</v>
      </c>
      <c r="J552">
        <v>4.45</v>
      </c>
      <c r="K552" t="str">
        <f>_xlfn.XLOOKUP(B552,zones_lookup!A:A,zones_lookup!B:B,"Not found")</f>
        <v>Mrs. Johnson</v>
      </c>
      <c r="L552">
        <f>_xlfn.XLOOKUP(B552,zones_lookup!A:A,zones_lookup!C:C,"Not found")</f>
        <v>241000</v>
      </c>
    </row>
    <row r="553" spans="1:12" x14ac:dyDescent="0.3">
      <c r="A553" s="2">
        <v>45961</v>
      </c>
      <c r="B553" t="s">
        <v>93</v>
      </c>
      <c r="C553" t="s">
        <v>57</v>
      </c>
      <c r="D553">
        <v>6</v>
      </c>
      <c r="E553">
        <v>26.8</v>
      </c>
      <c r="F553">
        <v>259.7</v>
      </c>
      <c r="G553">
        <v>2</v>
      </c>
      <c r="H553">
        <v>10</v>
      </c>
      <c r="I553" t="s">
        <v>1669</v>
      </c>
      <c r="J553">
        <v>4.4666666666666668</v>
      </c>
      <c r="K553" t="str">
        <f>_xlfn.XLOOKUP(B553,zones_lookup!A:A,zones_lookup!B:B,"Not found")</f>
        <v>Mr. Ogunleye</v>
      </c>
      <c r="L553">
        <f>_xlfn.XLOOKUP(B553,zones_lookup!A:A,zones_lookup!C:C,"Not found")</f>
        <v>181000</v>
      </c>
    </row>
    <row r="554" spans="1:12" x14ac:dyDescent="0.3">
      <c r="A554" s="2">
        <v>45896</v>
      </c>
      <c r="B554" t="s">
        <v>49</v>
      </c>
      <c r="C554" t="s">
        <v>50</v>
      </c>
      <c r="D554">
        <v>2</v>
      </c>
      <c r="E554">
        <v>7.7</v>
      </c>
      <c r="F554">
        <v>76</v>
      </c>
      <c r="G554">
        <v>3</v>
      </c>
      <c r="H554">
        <v>8</v>
      </c>
      <c r="I554" t="s">
        <v>1666</v>
      </c>
      <c r="J554">
        <v>3.85</v>
      </c>
      <c r="K554" t="str">
        <f>_xlfn.XLOOKUP(B554,zones_lookup!A:A,zones_lookup!B:B,"Not found")</f>
        <v>Mrs. Johnson</v>
      </c>
      <c r="L554">
        <f>_xlfn.XLOOKUP(B554,zones_lookup!A:A,zones_lookup!C:C,"Not found")</f>
        <v>241000</v>
      </c>
    </row>
    <row r="555" spans="1:12" x14ac:dyDescent="0.3">
      <c r="A555" s="2">
        <v>45943</v>
      </c>
      <c r="B555" t="s">
        <v>76</v>
      </c>
      <c r="C555" t="s">
        <v>77</v>
      </c>
      <c r="D555">
        <v>2</v>
      </c>
      <c r="E555">
        <v>10.8</v>
      </c>
      <c r="F555">
        <v>85.7</v>
      </c>
      <c r="G555">
        <v>3</v>
      </c>
      <c r="H555">
        <v>10</v>
      </c>
      <c r="I555" t="s">
        <v>1669</v>
      </c>
      <c r="J555">
        <v>5.4</v>
      </c>
      <c r="K555" t="str">
        <f>_xlfn.XLOOKUP(B555,zones_lookup!A:A,zones_lookup!B:B,"Not found")</f>
        <v>Mr. Adeyemi</v>
      </c>
      <c r="L555">
        <f>_xlfn.XLOOKUP(B555,zones_lookup!A:A,zones_lookup!C:C,"Not found")</f>
        <v>313000</v>
      </c>
    </row>
    <row r="556" spans="1:12" x14ac:dyDescent="0.3">
      <c r="A556" s="2">
        <v>45924</v>
      </c>
      <c r="B556" t="s">
        <v>108</v>
      </c>
      <c r="C556" t="s">
        <v>169</v>
      </c>
      <c r="D556">
        <v>2</v>
      </c>
      <c r="E556">
        <v>10.8</v>
      </c>
      <c r="F556">
        <v>78</v>
      </c>
      <c r="G556">
        <v>1</v>
      </c>
      <c r="H556">
        <v>9</v>
      </c>
      <c r="I556" t="s">
        <v>1670</v>
      </c>
      <c r="J556">
        <v>5.4</v>
      </c>
      <c r="K556" t="str">
        <f>_xlfn.XLOOKUP(B556,zones_lookup!A:A,zones_lookup!B:B,"Not found")</f>
        <v>Mrs. Okafor</v>
      </c>
      <c r="L556">
        <f>_xlfn.XLOOKUP(B556,zones_lookup!A:A,zones_lookup!C:C,"Not found")</f>
        <v>503000</v>
      </c>
    </row>
    <row r="557" spans="1:12" x14ac:dyDescent="0.3">
      <c r="A557" s="2">
        <v>45825</v>
      </c>
      <c r="B557" t="s">
        <v>27</v>
      </c>
      <c r="C557" t="s">
        <v>66</v>
      </c>
      <c r="D557">
        <v>3</v>
      </c>
      <c r="E557">
        <v>21.4</v>
      </c>
      <c r="F557">
        <v>110.7</v>
      </c>
      <c r="G557">
        <v>1</v>
      </c>
      <c r="H557">
        <v>6</v>
      </c>
      <c r="I557" t="s">
        <v>1667</v>
      </c>
      <c r="J557">
        <v>7.1333333333333329</v>
      </c>
      <c r="K557" t="str">
        <f>_xlfn.XLOOKUP(B557,zones_lookup!A:A,zones_lookup!B:B,"Not found")</f>
        <v>Mr. Bello</v>
      </c>
      <c r="L557">
        <f>_xlfn.XLOOKUP(B557,zones_lookup!A:A,zones_lookup!C:C,"Not found")</f>
        <v>1288000</v>
      </c>
    </row>
    <row r="558" spans="1:12" x14ac:dyDescent="0.3">
      <c r="A558" s="2">
        <v>45676</v>
      </c>
      <c r="B558" t="s">
        <v>89</v>
      </c>
      <c r="C558" t="s">
        <v>131</v>
      </c>
      <c r="D558">
        <v>6</v>
      </c>
      <c r="E558">
        <v>30.5</v>
      </c>
      <c r="F558">
        <v>295.3</v>
      </c>
      <c r="G558">
        <v>2</v>
      </c>
      <c r="H558">
        <v>1</v>
      </c>
      <c r="I558" t="s">
        <v>1660</v>
      </c>
      <c r="J558">
        <v>5.083333333333333</v>
      </c>
      <c r="K558" t="str">
        <f>_xlfn.XLOOKUP(B558,zones_lookup!A:A,zones_lookup!B:B,"Not found")</f>
        <v>Mr. Salami</v>
      </c>
      <c r="L558">
        <f>_xlfn.XLOOKUP(B558,zones_lookup!A:A,zones_lookup!C:C,"Not found")</f>
        <v>200000</v>
      </c>
    </row>
    <row r="559" spans="1:12" x14ac:dyDescent="0.3">
      <c r="A559" s="2">
        <v>45925</v>
      </c>
      <c r="B559" t="s">
        <v>89</v>
      </c>
      <c r="C559" t="s">
        <v>131</v>
      </c>
      <c r="D559">
        <v>6</v>
      </c>
      <c r="F559">
        <v>235.1</v>
      </c>
      <c r="G559">
        <v>2</v>
      </c>
      <c r="H559">
        <v>9</v>
      </c>
      <c r="I559" t="s">
        <v>1670</v>
      </c>
      <c r="K559" t="str">
        <f>_xlfn.XLOOKUP(B559,zones_lookup!A:A,zones_lookup!B:B,"Not found")</f>
        <v>Mr. Salami</v>
      </c>
      <c r="L559">
        <f>_xlfn.XLOOKUP(B559,zones_lookup!A:A,zones_lookup!C:C,"Not found")</f>
        <v>200000</v>
      </c>
    </row>
    <row r="560" spans="1:12" x14ac:dyDescent="0.3">
      <c r="A560" s="2">
        <v>45696</v>
      </c>
      <c r="B560" t="s">
        <v>89</v>
      </c>
      <c r="C560" t="s">
        <v>131</v>
      </c>
      <c r="D560">
        <v>5</v>
      </c>
      <c r="E560">
        <v>30</v>
      </c>
      <c r="F560">
        <v>187.8</v>
      </c>
      <c r="G560">
        <v>1</v>
      </c>
      <c r="H560">
        <v>2</v>
      </c>
      <c r="I560" t="s">
        <v>1665</v>
      </c>
      <c r="J560">
        <v>6</v>
      </c>
      <c r="K560" t="str">
        <f>_xlfn.XLOOKUP(B560,zones_lookup!A:A,zones_lookup!B:B,"Not found")</f>
        <v>Mr. Salami</v>
      </c>
      <c r="L560">
        <f>_xlfn.XLOOKUP(B560,zones_lookup!A:A,zones_lookup!C:C,"Not found")</f>
        <v>200000</v>
      </c>
    </row>
    <row r="561" spans="1:12" x14ac:dyDescent="0.3">
      <c r="A561" s="2">
        <v>46020</v>
      </c>
      <c r="B561" t="s">
        <v>41</v>
      </c>
      <c r="C561" t="s">
        <v>73</v>
      </c>
      <c r="D561">
        <v>4</v>
      </c>
      <c r="E561">
        <v>36.5</v>
      </c>
      <c r="F561">
        <v>159.6</v>
      </c>
      <c r="G561">
        <v>1</v>
      </c>
      <c r="H561">
        <v>12</v>
      </c>
      <c r="I561" t="s">
        <v>1671</v>
      </c>
      <c r="J561">
        <v>9.125</v>
      </c>
      <c r="K561" t="str">
        <f>_xlfn.XLOOKUP(B561,zones_lookup!A:A,zones_lookup!B:B,"Not found")</f>
        <v>Mrs. Adisa</v>
      </c>
      <c r="L561">
        <f>_xlfn.XLOOKUP(B561,zones_lookup!A:A,zones_lookup!C:C,"Not found")</f>
        <v>633000</v>
      </c>
    </row>
    <row r="562" spans="1:12" x14ac:dyDescent="0.3">
      <c r="A562" s="2">
        <v>45910</v>
      </c>
      <c r="B562" t="s">
        <v>76</v>
      </c>
      <c r="C562" t="s">
        <v>80</v>
      </c>
      <c r="D562">
        <v>6</v>
      </c>
      <c r="E562">
        <v>38.6</v>
      </c>
      <c r="F562">
        <v>219.8</v>
      </c>
      <c r="G562">
        <v>2</v>
      </c>
      <c r="H562">
        <v>9</v>
      </c>
      <c r="I562" t="s">
        <v>1670</v>
      </c>
      <c r="J562">
        <v>6.4333333333333336</v>
      </c>
      <c r="K562" t="str">
        <f>_xlfn.XLOOKUP(B562,zones_lookup!A:A,zones_lookup!B:B,"Not found")</f>
        <v>Mr. Adeyemi</v>
      </c>
      <c r="L562">
        <f>_xlfn.XLOOKUP(B562,zones_lookup!A:A,zones_lookup!C:C,"Not found")</f>
        <v>313000</v>
      </c>
    </row>
    <row r="563" spans="1:12" x14ac:dyDescent="0.3">
      <c r="A563" s="2">
        <v>45860</v>
      </c>
      <c r="B563" t="s">
        <v>108</v>
      </c>
      <c r="C563" t="s">
        <v>208</v>
      </c>
      <c r="D563">
        <v>4</v>
      </c>
      <c r="E563">
        <v>24.8</v>
      </c>
      <c r="F563">
        <v>167.3</v>
      </c>
      <c r="G563">
        <v>0</v>
      </c>
      <c r="H563">
        <v>7</v>
      </c>
      <c r="I563" t="s">
        <v>1661</v>
      </c>
      <c r="J563">
        <v>6.2</v>
      </c>
      <c r="K563" t="str">
        <f>_xlfn.XLOOKUP(B563,zones_lookup!A:A,zones_lookup!B:B,"Not found")</f>
        <v>Mrs. Okafor</v>
      </c>
      <c r="L563">
        <f>_xlfn.XLOOKUP(B563,zones_lookup!A:A,zones_lookup!C:C,"Not found")</f>
        <v>503000</v>
      </c>
    </row>
    <row r="564" spans="1:12" x14ac:dyDescent="0.3">
      <c r="A564" s="2">
        <v>45738</v>
      </c>
      <c r="B564" t="s">
        <v>41</v>
      </c>
      <c r="C564" t="s">
        <v>73</v>
      </c>
      <c r="D564">
        <v>6</v>
      </c>
      <c r="E564">
        <v>43</v>
      </c>
      <c r="F564">
        <v>229.5</v>
      </c>
      <c r="G564">
        <v>3</v>
      </c>
      <c r="H564">
        <v>3</v>
      </c>
      <c r="I564" t="s">
        <v>1662</v>
      </c>
      <c r="J564">
        <v>7.166666666666667</v>
      </c>
      <c r="K564" t="str">
        <f>_xlfn.XLOOKUP(B564,zones_lookup!A:A,zones_lookup!B:B,"Not found")</f>
        <v>Mrs. Adisa</v>
      </c>
      <c r="L564">
        <f>_xlfn.XLOOKUP(B564,zones_lookup!A:A,zones_lookup!C:C,"Not found")</f>
        <v>633000</v>
      </c>
    </row>
    <row r="565" spans="1:12" x14ac:dyDescent="0.3">
      <c r="A565" s="2">
        <v>45932</v>
      </c>
      <c r="B565" t="s">
        <v>41</v>
      </c>
      <c r="C565" t="s">
        <v>66</v>
      </c>
      <c r="D565">
        <v>3</v>
      </c>
      <c r="E565">
        <v>21.6</v>
      </c>
      <c r="F565">
        <v>126.7</v>
      </c>
      <c r="G565">
        <v>0</v>
      </c>
      <c r="H565">
        <v>10</v>
      </c>
      <c r="I565" t="s">
        <v>1669</v>
      </c>
      <c r="J565">
        <v>7.2</v>
      </c>
      <c r="K565" t="str">
        <f>_xlfn.XLOOKUP(B565,zones_lookup!A:A,zones_lookup!B:B,"Not found")</f>
        <v>Mrs. Adisa</v>
      </c>
      <c r="L565">
        <f>_xlfn.XLOOKUP(B565,zones_lookup!A:A,zones_lookup!C:C,"Not found")</f>
        <v>633000</v>
      </c>
    </row>
    <row r="566" spans="1:12" x14ac:dyDescent="0.3">
      <c r="A566" s="2">
        <v>46012</v>
      </c>
      <c r="B566" t="s">
        <v>76</v>
      </c>
      <c r="C566" t="s">
        <v>84</v>
      </c>
      <c r="D566">
        <v>4</v>
      </c>
      <c r="E566">
        <v>36.9</v>
      </c>
      <c r="F566">
        <v>136.80000000000001</v>
      </c>
      <c r="G566">
        <v>1</v>
      </c>
      <c r="H566">
        <v>12</v>
      </c>
      <c r="I566" t="s">
        <v>1671</v>
      </c>
      <c r="J566">
        <v>9.2249999999999996</v>
      </c>
      <c r="K566" t="str">
        <f>_xlfn.XLOOKUP(B566,zones_lookup!A:A,zones_lookup!B:B,"Not found")</f>
        <v>Mr. Adeyemi</v>
      </c>
      <c r="L566">
        <f>_xlfn.XLOOKUP(B566,zones_lookup!A:A,zones_lookup!C:C,"Not found")</f>
        <v>313000</v>
      </c>
    </row>
    <row r="567" spans="1:12" x14ac:dyDescent="0.3">
      <c r="A567" s="2">
        <v>45967</v>
      </c>
      <c r="B567" t="s">
        <v>60</v>
      </c>
      <c r="C567" t="s">
        <v>61</v>
      </c>
      <c r="D567">
        <v>5</v>
      </c>
      <c r="E567">
        <v>20.9</v>
      </c>
      <c r="F567">
        <v>204.4</v>
      </c>
      <c r="G567">
        <v>5</v>
      </c>
      <c r="H567">
        <v>11</v>
      </c>
      <c r="I567" t="s">
        <v>1664</v>
      </c>
      <c r="J567">
        <v>4.18</v>
      </c>
      <c r="K567" t="str">
        <f>_xlfn.XLOOKUP(B567,zones_lookup!A:A,zones_lookup!B:B,"Not found")</f>
        <v>Mrs. Eze</v>
      </c>
      <c r="L567">
        <f>_xlfn.XLOOKUP(B567,zones_lookup!A:A,zones_lookup!C:C,"Not found")</f>
        <v>535000</v>
      </c>
    </row>
    <row r="568" spans="1:12" x14ac:dyDescent="0.3">
      <c r="A568" s="2">
        <v>45849</v>
      </c>
      <c r="B568" t="s">
        <v>76</v>
      </c>
      <c r="C568" t="s">
        <v>84</v>
      </c>
      <c r="D568">
        <v>2</v>
      </c>
      <c r="E568">
        <v>15</v>
      </c>
      <c r="F568">
        <v>88.6</v>
      </c>
      <c r="G568">
        <v>0</v>
      </c>
      <c r="H568">
        <v>7</v>
      </c>
      <c r="I568" t="s">
        <v>1661</v>
      </c>
      <c r="J568">
        <v>7.5</v>
      </c>
      <c r="K568" t="str">
        <f>_xlfn.XLOOKUP(B568,zones_lookup!A:A,zones_lookup!B:B,"Not found")</f>
        <v>Mr. Adeyemi</v>
      </c>
      <c r="L568">
        <f>_xlfn.XLOOKUP(B568,zones_lookup!A:A,zones_lookup!C:C,"Not found")</f>
        <v>313000</v>
      </c>
    </row>
    <row r="569" spans="1:12" x14ac:dyDescent="0.3">
      <c r="A569" s="2">
        <v>45803</v>
      </c>
      <c r="B569" t="s">
        <v>76</v>
      </c>
      <c r="C569" t="s">
        <v>77</v>
      </c>
      <c r="D569">
        <v>6</v>
      </c>
      <c r="E569">
        <v>40</v>
      </c>
      <c r="F569">
        <v>205</v>
      </c>
      <c r="G569">
        <v>1</v>
      </c>
      <c r="H569">
        <v>5</v>
      </c>
      <c r="I569" t="s">
        <v>1663</v>
      </c>
      <c r="J569">
        <v>6.666666666666667</v>
      </c>
      <c r="K569" t="str">
        <f>_xlfn.XLOOKUP(B569,zones_lookup!A:A,zones_lookup!B:B,"Not found")</f>
        <v>Mr. Adeyemi</v>
      </c>
      <c r="L569">
        <f>_xlfn.XLOOKUP(B569,zones_lookup!A:A,zones_lookup!C:C,"Not found")</f>
        <v>313000</v>
      </c>
    </row>
    <row r="570" spans="1:12" x14ac:dyDescent="0.3">
      <c r="A570" s="2">
        <v>45775</v>
      </c>
      <c r="B570" t="s">
        <v>89</v>
      </c>
      <c r="C570" t="s">
        <v>90</v>
      </c>
      <c r="D570">
        <v>2</v>
      </c>
      <c r="E570">
        <v>9.6</v>
      </c>
      <c r="F570">
        <v>84.2</v>
      </c>
      <c r="G570">
        <v>0</v>
      </c>
      <c r="H570">
        <v>4</v>
      </c>
      <c r="I570" t="s">
        <v>1668</v>
      </c>
      <c r="J570">
        <v>4.8</v>
      </c>
      <c r="K570" t="str">
        <f>_xlfn.XLOOKUP(B570,zones_lookup!A:A,zones_lookup!B:B,"Not found")</f>
        <v>Mr. Salami</v>
      </c>
      <c r="L570">
        <f>_xlfn.XLOOKUP(B570,zones_lookup!A:A,zones_lookup!C:C,"Not found")</f>
        <v>200000</v>
      </c>
    </row>
    <row r="571" spans="1:12" x14ac:dyDescent="0.3">
      <c r="A571" s="2">
        <v>45722</v>
      </c>
      <c r="B571" t="s">
        <v>108</v>
      </c>
      <c r="C571" t="s">
        <v>208</v>
      </c>
      <c r="D571">
        <v>2</v>
      </c>
      <c r="E571">
        <v>12.3</v>
      </c>
      <c r="F571">
        <v>85.6</v>
      </c>
      <c r="G571">
        <v>0</v>
      </c>
      <c r="H571">
        <v>3</v>
      </c>
      <c r="I571" t="s">
        <v>1662</v>
      </c>
      <c r="J571">
        <v>6.15</v>
      </c>
      <c r="K571" t="str">
        <f>_xlfn.XLOOKUP(B571,zones_lookup!A:A,zones_lookup!B:B,"Not found")</f>
        <v>Mrs. Okafor</v>
      </c>
      <c r="L571">
        <f>_xlfn.XLOOKUP(B571,zones_lookup!A:A,zones_lookup!C:C,"Not found")</f>
        <v>503000</v>
      </c>
    </row>
    <row r="572" spans="1:12" x14ac:dyDescent="0.3">
      <c r="A572" s="2">
        <v>45804</v>
      </c>
      <c r="B572" t="s">
        <v>108</v>
      </c>
      <c r="C572" t="s">
        <v>169</v>
      </c>
      <c r="D572">
        <v>3</v>
      </c>
      <c r="E572">
        <v>18.399999999999999</v>
      </c>
      <c r="F572">
        <v>106</v>
      </c>
      <c r="G572">
        <v>0</v>
      </c>
      <c r="H572">
        <v>5</v>
      </c>
      <c r="I572" t="s">
        <v>1663</v>
      </c>
      <c r="J572">
        <v>6.1333333333333329</v>
      </c>
      <c r="K572" t="str">
        <f>_xlfn.XLOOKUP(B572,zones_lookup!A:A,zones_lookup!B:B,"Not found")</f>
        <v>Mrs. Okafor</v>
      </c>
      <c r="L572">
        <f>_xlfn.XLOOKUP(B572,zones_lookup!A:A,zones_lookup!C:C,"Not found")</f>
        <v>503000</v>
      </c>
    </row>
    <row r="573" spans="1:12" x14ac:dyDescent="0.3">
      <c r="A573" s="2">
        <v>45960</v>
      </c>
      <c r="B573" t="s">
        <v>76</v>
      </c>
      <c r="C573" t="s">
        <v>84</v>
      </c>
      <c r="D573">
        <v>2</v>
      </c>
      <c r="E573">
        <v>13.9</v>
      </c>
      <c r="F573">
        <v>108.4</v>
      </c>
      <c r="G573">
        <v>2</v>
      </c>
      <c r="H573">
        <v>10</v>
      </c>
      <c r="I573" t="s">
        <v>1669</v>
      </c>
      <c r="J573">
        <v>6.95</v>
      </c>
      <c r="K573" t="str">
        <f>_xlfn.XLOOKUP(B573,zones_lookup!A:A,zones_lookup!B:B,"Not found")</f>
        <v>Mr. Adeyemi</v>
      </c>
      <c r="L573">
        <f>_xlfn.XLOOKUP(B573,zones_lookup!A:A,zones_lookup!C:C,"Not found")</f>
        <v>313000</v>
      </c>
    </row>
    <row r="574" spans="1:12" x14ac:dyDescent="0.3">
      <c r="A574" s="2">
        <v>45773</v>
      </c>
      <c r="B574" t="s">
        <v>93</v>
      </c>
      <c r="C574" t="s">
        <v>101</v>
      </c>
      <c r="D574">
        <v>2</v>
      </c>
      <c r="E574">
        <v>8.4</v>
      </c>
      <c r="F574">
        <v>76.099999999999994</v>
      </c>
      <c r="G574">
        <v>2</v>
      </c>
      <c r="H574">
        <v>4</v>
      </c>
      <c r="I574" t="s">
        <v>1668</v>
      </c>
      <c r="J574">
        <v>4.2</v>
      </c>
      <c r="K574" t="str">
        <f>_xlfn.XLOOKUP(B574,zones_lookup!A:A,zones_lookup!B:B,"Not found")</f>
        <v>Mr. Ogunleye</v>
      </c>
      <c r="L574">
        <f>_xlfn.XLOOKUP(B574,zones_lookup!A:A,zones_lookup!C:C,"Not found")</f>
        <v>181000</v>
      </c>
    </row>
    <row r="575" spans="1:12" x14ac:dyDescent="0.3">
      <c r="A575" s="2">
        <v>45793</v>
      </c>
      <c r="B575" t="s">
        <v>60</v>
      </c>
      <c r="C575" t="s">
        <v>64</v>
      </c>
      <c r="D575">
        <v>5</v>
      </c>
      <c r="F575">
        <v>198.2</v>
      </c>
      <c r="G575">
        <v>3</v>
      </c>
      <c r="H575">
        <v>5</v>
      </c>
      <c r="I575" t="s">
        <v>1663</v>
      </c>
      <c r="K575" t="str">
        <f>_xlfn.XLOOKUP(B575,zones_lookup!A:A,zones_lookup!B:B,"Not found")</f>
        <v>Mrs. Eze</v>
      </c>
      <c r="L575">
        <f>_xlfn.XLOOKUP(B575,zones_lookup!A:A,zones_lookup!C:C,"Not found")</f>
        <v>535000</v>
      </c>
    </row>
    <row r="576" spans="1:12" x14ac:dyDescent="0.3">
      <c r="A576" s="2">
        <v>45940</v>
      </c>
      <c r="B576" t="s">
        <v>76</v>
      </c>
      <c r="C576" t="s">
        <v>80</v>
      </c>
      <c r="D576">
        <v>5</v>
      </c>
      <c r="E576">
        <v>37.200000000000003</v>
      </c>
      <c r="F576">
        <v>213.5</v>
      </c>
      <c r="G576">
        <v>0</v>
      </c>
      <c r="H576">
        <v>10</v>
      </c>
      <c r="I576" t="s">
        <v>1669</v>
      </c>
      <c r="J576">
        <v>7.44</v>
      </c>
      <c r="K576" t="str">
        <f>_xlfn.XLOOKUP(B576,zones_lookup!A:A,zones_lookup!B:B,"Not found")</f>
        <v>Mr. Adeyemi</v>
      </c>
      <c r="L576">
        <f>_xlfn.XLOOKUP(B576,zones_lookup!A:A,zones_lookup!C:C,"Not found")</f>
        <v>313000</v>
      </c>
    </row>
    <row r="577" spans="1:12" x14ac:dyDescent="0.3">
      <c r="A577" s="2">
        <v>45882</v>
      </c>
      <c r="B577" t="s">
        <v>27</v>
      </c>
      <c r="C577" t="s">
        <v>31</v>
      </c>
      <c r="D577">
        <v>4</v>
      </c>
      <c r="E577">
        <v>26.6</v>
      </c>
      <c r="F577">
        <v>114.9</v>
      </c>
      <c r="G577">
        <v>1</v>
      </c>
      <c r="H577">
        <v>8</v>
      </c>
      <c r="I577" t="s">
        <v>1666</v>
      </c>
      <c r="J577">
        <v>6.65</v>
      </c>
      <c r="K577" t="str">
        <f>_xlfn.XLOOKUP(B577,zones_lookup!A:A,zones_lookup!B:B,"Not found")</f>
        <v>Mr. Bello</v>
      </c>
      <c r="L577">
        <f>_xlfn.XLOOKUP(B577,zones_lookup!A:A,zones_lookup!C:C,"Not found")</f>
        <v>1288000</v>
      </c>
    </row>
    <row r="578" spans="1:12" x14ac:dyDescent="0.3">
      <c r="A578" s="2">
        <v>45861</v>
      </c>
      <c r="B578" t="s">
        <v>60</v>
      </c>
      <c r="C578" t="s">
        <v>61</v>
      </c>
      <c r="D578">
        <v>4</v>
      </c>
      <c r="E578">
        <v>16.8</v>
      </c>
      <c r="F578">
        <v>131.80000000000001</v>
      </c>
      <c r="G578">
        <v>1</v>
      </c>
      <c r="H578">
        <v>7</v>
      </c>
      <c r="I578" t="s">
        <v>1661</v>
      </c>
      <c r="J578">
        <v>4.2</v>
      </c>
      <c r="K578" t="str">
        <f>_xlfn.XLOOKUP(B578,zones_lookup!A:A,zones_lookup!B:B,"Not found")</f>
        <v>Mrs. Eze</v>
      </c>
      <c r="L578">
        <f>_xlfn.XLOOKUP(B578,zones_lookup!A:A,zones_lookup!C:C,"Not found")</f>
        <v>535000</v>
      </c>
    </row>
    <row r="579" spans="1:12" x14ac:dyDescent="0.3">
      <c r="A579" s="2">
        <v>45851</v>
      </c>
      <c r="B579" t="s">
        <v>76</v>
      </c>
      <c r="C579" t="s">
        <v>77</v>
      </c>
      <c r="D579">
        <v>3</v>
      </c>
      <c r="E579">
        <v>20.100000000000001</v>
      </c>
      <c r="F579">
        <v>87.4</v>
      </c>
      <c r="G579">
        <v>1</v>
      </c>
      <c r="H579">
        <v>7</v>
      </c>
      <c r="I579" t="s">
        <v>1661</v>
      </c>
      <c r="J579">
        <v>6.7</v>
      </c>
      <c r="K579" t="str">
        <f>_xlfn.XLOOKUP(B579,zones_lookup!A:A,zones_lookup!B:B,"Not found")</f>
        <v>Mr. Adeyemi</v>
      </c>
      <c r="L579">
        <f>_xlfn.XLOOKUP(B579,zones_lookup!A:A,zones_lookup!C:C,"Not found")</f>
        <v>313000</v>
      </c>
    </row>
    <row r="580" spans="1:12" x14ac:dyDescent="0.3">
      <c r="A580" s="2">
        <v>45812</v>
      </c>
      <c r="B580" t="s">
        <v>27</v>
      </c>
      <c r="C580" t="s">
        <v>28</v>
      </c>
      <c r="D580">
        <v>4</v>
      </c>
      <c r="E580">
        <v>30.3</v>
      </c>
      <c r="F580">
        <v>153.5</v>
      </c>
      <c r="G580">
        <v>4</v>
      </c>
      <c r="H580">
        <v>6</v>
      </c>
      <c r="I580" t="s">
        <v>1667</v>
      </c>
      <c r="J580">
        <v>7.5750000000000002</v>
      </c>
      <c r="K580" t="str">
        <f>_xlfn.XLOOKUP(B580,zones_lookup!A:A,zones_lookup!B:B,"Not found")</f>
        <v>Mr. Bello</v>
      </c>
      <c r="L580">
        <f>_xlfn.XLOOKUP(B580,zones_lookup!A:A,zones_lookup!C:C,"Not found")</f>
        <v>1288000</v>
      </c>
    </row>
    <row r="581" spans="1:12" x14ac:dyDescent="0.3">
      <c r="A581" s="2">
        <v>45862</v>
      </c>
      <c r="B581" t="s">
        <v>27</v>
      </c>
      <c r="C581" t="s">
        <v>38</v>
      </c>
      <c r="D581">
        <v>6</v>
      </c>
      <c r="E581">
        <v>37.5</v>
      </c>
      <c r="F581">
        <v>276.2</v>
      </c>
      <c r="G581">
        <v>1</v>
      </c>
      <c r="H581">
        <v>7</v>
      </c>
      <c r="I581" t="s">
        <v>1661</v>
      </c>
      <c r="J581">
        <v>6.25</v>
      </c>
      <c r="K581" t="str">
        <f>_xlfn.XLOOKUP(B581,zones_lookup!A:A,zones_lookup!B:B,"Not found")</f>
        <v>Mr. Bello</v>
      </c>
      <c r="L581">
        <f>_xlfn.XLOOKUP(B581,zones_lookup!A:A,zones_lookup!C:C,"Not found")</f>
        <v>1288000</v>
      </c>
    </row>
    <row r="582" spans="1:12" x14ac:dyDescent="0.3">
      <c r="A582" s="2">
        <v>45800</v>
      </c>
      <c r="B582" t="s">
        <v>76</v>
      </c>
      <c r="C582" t="s">
        <v>77</v>
      </c>
      <c r="D582">
        <v>4</v>
      </c>
      <c r="E582">
        <v>23.6</v>
      </c>
      <c r="F582">
        <v>156.5</v>
      </c>
      <c r="G582">
        <v>1</v>
      </c>
      <c r="H582">
        <v>5</v>
      </c>
      <c r="I582" t="s">
        <v>1663</v>
      </c>
      <c r="J582">
        <v>5.9</v>
      </c>
      <c r="K582" t="str">
        <f>_xlfn.XLOOKUP(B582,zones_lookup!A:A,zones_lookup!B:B,"Not found")</f>
        <v>Mr. Adeyemi</v>
      </c>
      <c r="L582">
        <f>_xlfn.XLOOKUP(B582,zones_lookup!A:A,zones_lookup!C:C,"Not found")</f>
        <v>313000</v>
      </c>
    </row>
    <row r="583" spans="1:12" x14ac:dyDescent="0.3">
      <c r="A583" s="2">
        <v>45968</v>
      </c>
      <c r="B583" t="s">
        <v>41</v>
      </c>
      <c r="C583" t="s">
        <v>46</v>
      </c>
      <c r="D583">
        <v>4</v>
      </c>
      <c r="E583">
        <v>33.9</v>
      </c>
      <c r="F583">
        <v>188</v>
      </c>
      <c r="G583">
        <v>0</v>
      </c>
      <c r="H583">
        <v>11</v>
      </c>
      <c r="I583" t="s">
        <v>1664</v>
      </c>
      <c r="J583">
        <v>8.4749999999999996</v>
      </c>
      <c r="K583" t="str">
        <f>_xlfn.XLOOKUP(B583,zones_lookup!A:A,zones_lookup!B:B,"Not found")</f>
        <v>Mrs. Adisa</v>
      </c>
      <c r="L583">
        <f>_xlfn.XLOOKUP(B583,zones_lookup!A:A,zones_lookup!C:C,"Not found")</f>
        <v>633000</v>
      </c>
    </row>
    <row r="584" spans="1:12" x14ac:dyDescent="0.3">
      <c r="A584" s="2">
        <v>45768</v>
      </c>
      <c r="B584" t="s">
        <v>108</v>
      </c>
      <c r="C584" t="s">
        <v>208</v>
      </c>
      <c r="D584">
        <v>3</v>
      </c>
      <c r="E584">
        <v>21.9</v>
      </c>
      <c r="F584">
        <v>133.69999999999999</v>
      </c>
      <c r="G584">
        <v>1</v>
      </c>
      <c r="H584">
        <v>4</v>
      </c>
      <c r="I584" t="s">
        <v>1668</v>
      </c>
      <c r="J584">
        <v>7.3</v>
      </c>
      <c r="K584" t="str">
        <f>_xlfn.XLOOKUP(B584,zones_lookup!A:A,zones_lookup!B:B,"Not found")</f>
        <v>Mrs. Okafor</v>
      </c>
      <c r="L584">
        <f>_xlfn.XLOOKUP(B584,zones_lookup!A:A,zones_lookup!C:C,"Not found")</f>
        <v>503000</v>
      </c>
    </row>
    <row r="585" spans="1:12" x14ac:dyDescent="0.3">
      <c r="A585" s="2">
        <v>45960</v>
      </c>
      <c r="B585" t="s">
        <v>41</v>
      </c>
      <c r="C585" t="s">
        <v>42</v>
      </c>
      <c r="D585">
        <v>3</v>
      </c>
      <c r="E585">
        <v>22.7</v>
      </c>
      <c r="F585">
        <v>107.2</v>
      </c>
      <c r="G585">
        <v>3</v>
      </c>
      <c r="H585">
        <v>10</v>
      </c>
      <c r="I585" t="s">
        <v>1669</v>
      </c>
      <c r="J585">
        <v>7.5666666666666664</v>
      </c>
      <c r="K585" t="str">
        <f>_xlfn.XLOOKUP(B585,zones_lookup!A:A,zones_lookup!B:B,"Not found")</f>
        <v>Mrs. Adisa</v>
      </c>
      <c r="L585">
        <f>_xlfn.XLOOKUP(B585,zones_lookup!A:A,zones_lookup!C:C,"Not found")</f>
        <v>633000</v>
      </c>
    </row>
    <row r="586" spans="1:12" x14ac:dyDescent="0.3">
      <c r="A586" s="2">
        <v>45919</v>
      </c>
      <c r="B586" t="s">
        <v>41</v>
      </c>
      <c r="C586" t="s">
        <v>73</v>
      </c>
      <c r="D586">
        <v>3</v>
      </c>
      <c r="F586">
        <v>150.30000000000001</v>
      </c>
      <c r="G586">
        <v>1</v>
      </c>
      <c r="H586">
        <v>9</v>
      </c>
      <c r="I586" t="s">
        <v>1670</v>
      </c>
      <c r="K586" t="str">
        <f>_xlfn.XLOOKUP(B586,zones_lookup!A:A,zones_lookup!B:B,"Not found")</f>
        <v>Mrs. Adisa</v>
      </c>
      <c r="L586">
        <f>_xlfn.XLOOKUP(B586,zones_lookup!A:A,zones_lookup!C:C,"Not found")</f>
        <v>633000</v>
      </c>
    </row>
    <row r="587" spans="1:12" x14ac:dyDescent="0.3">
      <c r="A587" s="2">
        <v>45814</v>
      </c>
      <c r="B587" t="s">
        <v>60</v>
      </c>
      <c r="C587" t="s">
        <v>61</v>
      </c>
      <c r="D587">
        <v>3</v>
      </c>
      <c r="E587">
        <v>12.5</v>
      </c>
      <c r="F587">
        <v>116.6</v>
      </c>
      <c r="G587">
        <v>1</v>
      </c>
      <c r="H587">
        <v>6</v>
      </c>
      <c r="I587" t="s">
        <v>1667</v>
      </c>
      <c r="J587">
        <v>4.166666666666667</v>
      </c>
      <c r="K587" t="str">
        <f>_xlfn.XLOOKUP(B587,zones_lookup!A:A,zones_lookup!B:B,"Not found")</f>
        <v>Mrs. Eze</v>
      </c>
      <c r="L587">
        <f>_xlfn.XLOOKUP(B587,zones_lookup!A:A,zones_lookup!C:C,"Not found")</f>
        <v>535000</v>
      </c>
    </row>
    <row r="588" spans="1:12" x14ac:dyDescent="0.3">
      <c r="A588" s="2">
        <v>45880</v>
      </c>
      <c r="B588" t="s">
        <v>49</v>
      </c>
      <c r="C588" t="s">
        <v>52</v>
      </c>
      <c r="D588">
        <v>6</v>
      </c>
      <c r="E588">
        <v>23.5</v>
      </c>
      <c r="F588">
        <v>257.89999999999998</v>
      </c>
      <c r="G588">
        <v>4</v>
      </c>
      <c r="H588">
        <v>8</v>
      </c>
      <c r="I588" t="s">
        <v>1666</v>
      </c>
      <c r="J588">
        <v>3.9166666666666665</v>
      </c>
      <c r="K588" t="str">
        <f>_xlfn.XLOOKUP(B588,zones_lookup!A:A,zones_lookup!B:B,"Not found")</f>
        <v>Mrs. Johnson</v>
      </c>
      <c r="L588">
        <f>_xlfn.XLOOKUP(B588,zones_lookup!A:A,zones_lookup!C:C,"Not found")</f>
        <v>241000</v>
      </c>
    </row>
    <row r="589" spans="1:12" x14ac:dyDescent="0.3">
      <c r="A589" s="2">
        <v>45770</v>
      </c>
      <c r="B589" t="s">
        <v>49</v>
      </c>
      <c r="C589" t="s">
        <v>66</v>
      </c>
      <c r="D589">
        <v>4</v>
      </c>
      <c r="E589">
        <v>17</v>
      </c>
      <c r="F589">
        <v>167.7</v>
      </c>
      <c r="G589">
        <v>1</v>
      </c>
      <c r="H589">
        <v>4</v>
      </c>
      <c r="I589" t="s">
        <v>1668</v>
      </c>
      <c r="J589">
        <v>4.25</v>
      </c>
      <c r="K589" t="str">
        <f>_xlfn.XLOOKUP(B589,zones_lookup!A:A,zones_lookup!B:B,"Not found")</f>
        <v>Mrs. Johnson</v>
      </c>
      <c r="L589">
        <f>_xlfn.XLOOKUP(B589,zones_lookup!A:A,zones_lookup!C:C,"Not found")</f>
        <v>241000</v>
      </c>
    </row>
    <row r="590" spans="1:12" x14ac:dyDescent="0.3">
      <c r="A590" s="2">
        <v>45946</v>
      </c>
      <c r="B590" t="s">
        <v>49</v>
      </c>
      <c r="C590" t="s">
        <v>52</v>
      </c>
      <c r="D590">
        <v>6</v>
      </c>
      <c r="E590">
        <v>24</v>
      </c>
      <c r="F590">
        <v>319</v>
      </c>
      <c r="G590">
        <v>0</v>
      </c>
      <c r="H590">
        <v>10</v>
      </c>
      <c r="I590" t="s">
        <v>1669</v>
      </c>
      <c r="J590">
        <v>4</v>
      </c>
      <c r="K590" t="str">
        <f>_xlfn.XLOOKUP(B590,zones_lookup!A:A,zones_lookup!B:B,"Not found")</f>
        <v>Mrs. Johnson</v>
      </c>
      <c r="L590">
        <f>_xlfn.XLOOKUP(B590,zones_lookup!A:A,zones_lookup!C:C,"Not found")</f>
        <v>241000</v>
      </c>
    </row>
    <row r="591" spans="1:12" x14ac:dyDescent="0.3">
      <c r="A591" s="2">
        <v>45921</v>
      </c>
      <c r="B591" t="s">
        <v>89</v>
      </c>
      <c r="C591" t="s">
        <v>90</v>
      </c>
      <c r="D591">
        <v>3</v>
      </c>
      <c r="E591">
        <v>13.9</v>
      </c>
      <c r="F591">
        <v>116.4</v>
      </c>
      <c r="G591">
        <v>2</v>
      </c>
      <c r="H591">
        <v>9</v>
      </c>
      <c r="I591" t="s">
        <v>1670</v>
      </c>
      <c r="J591">
        <v>4.6333333333333337</v>
      </c>
      <c r="K591" t="str">
        <f>_xlfn.XLOOKUP(B591,zones_lookup!A:A,zones_lookup!B:B,"Not found")</f>
        <v>Mr. Salami</v>
      </c>
      <c r="L591">
        <f>_xlfn.XLOOKUP(B591,zones_lookup!A:A,zones_lookup!C:C,"Not found")</f>
        <v>200000</v>
      </c>
    </row>
    <row r="592" spans="1:12" x14ac:dyDescent="0.3">
      <c r="A592" s="2">
        <v>45968</v>
      </c>
      <c r="B592" t="s">
        <v>108</v>
      </c>
      <c r="C592" t="s">
        <v>109</v>
      </c>
      <c r="D592">
        <v>6</v>
      </c>
      <c r="E592">
        <v>41.8</v>
      </c>
      <c r="F592">
        <v>218.3</v>
      </c>
      <c r="G592">
        <v>0</v>
      </c>
      <c r="H592">
        <v>11</v>
      </c>
      <c r="I592" t="s">
        <v>1664</v>
      </c>
      <c r="J592">
        <v>6.9666666666666659</v>
      </c>
      <c r="K592" t="str">
        <f>_xlfn.XLOOKUP(B592,zones_lookup!A:A,zones_lookup!B:B,"Not found")</f>
        <v>Mrs. Okafor</v>
      </c>
      <c r="L592">
        <f>_xlfn.XLOOKUP(B592,zones_lookup!A:A,zones_lookup!C:C,"Not found")</f>
        <v>503000</v>
      </c>
    </row>
    <row r="593" spans="1:12" x14ac:dyDescent="0.3">
      <c r="A593" s="2">
        <v>45869</v>
      </c>
      <c r="B593" t="s">
        <v>49</v>
      </c>
      <c r="C593" t="s">
        <v>50</v>
      </c>
      <c r="D593">
        <v>2</v>
      </c>
      <c r="E593">
        <v>6.6</v>
      </c>
      <c r="F593">
        <v>77.3</v>
      </c>
      <c r="G593">
        <v>2</v>
      </c>
      <c r="H593">
        <v>7</v>
      </c>
      <c r="I593" t="s">
        <v>1661</v>
      </c>
      <c r="J593">
        <v>3.3</v>
      </c>
      <c r="K593" t="str">
        <f>_xlfn.XLOOKUP(B593,zones_lookup!A:A,zones_lookup!B:B,"Not found")</f>
        <v>Mrs. Johnson</v>
      </c>
      <c r="L593">
        <f>_xlfn.XLOOKUP(B593,zones_lookup!A:A,zones_lookup!C:C,"Not found")</f>
        <v>241000</v>
      </c>
    </row>
    <row r="594" spans="1:12" x14ac:dyDescent="0.3">
      <c r="A594" s="2">
        <v>45729</v>
      </c>
      <c r="B594" t="s">
        <v>108</v>
      </c>
      <c r="C594" t="s">
        <v>169</v>
      </c>
      <c r="D594">
        <v>5</v>
      </c>
      <c r="E594">
        <v>28.8</v>
      </c>
      <c r="F594">
        <v>143.5</v>
      </c>
      <c r="G594">
        <v>0</v>
      </c>
      <c r="H594">
        <v>3</v>
      </c>
      <c r="I594" t="s">
        <v>1662</v>
      </c>
      <c r="J594">
        <v>5.76</v>
      </c>
      <c r="K594" t="str">
        <f>_xlfn.XLOOKUP(B594,zones_lookup!A:A,zones_lookup!B:B,"Not found")</f>
        <v>Mrs. Okafor</v>
      </c>
      <c r="L594">
        <f>_xlfn.XLOOKUP(B594,zones_lookup!A:A,zones_lookup!C:C,"Not found")</f>
        <v>503000</v>
      </c>
    </row>
    <row r="595" spans="1:12" x14ac:dyDescent="0.3">
      <c r="A595" s="2">
        <v>45708</v>
      </c>
      <c r="B595" t="s">
        <v>60</v>
      </c>
      <c r="C595" t="s">
        <v>64</v>
      </c>
      <c r="D595">
        <v>6</v>
      </c>
      <c r="E595">
        <v>22.2</v>
      </c>
      <c r="F595">
        <v>152.9</v>
      </c>
      <c r="G595">
        <v>3</v>
      </c>
      <c r="H595">
        <v>2</v>
      </c>
      <c r="I595" t="s">
        <v>1665</v>
      </c>
      <c r="J595">
        <v>3.6999999999999997</v>
      </c>
      <c r="K595" t="str">
        <f>_xlfn.XLOOKUP(B595,zones_lookup!A:A,zones_lookup!B:B,"Not found")</f>
        <v>Mrs. Eze</v>
      </c>
      <c r="L595">
        <f>_xlfn.XLOOKUP(B595,zones_lookup!A:A,zones_lookup!C:C,"Not found")</f>
        <v>535000</v>
      </c>
    </row>
    <row r="596" spans="1:12" x14ac:dyDescent="0.3">
      <c r="A596" s="2">
        <v>45861</v>
      </c>
      <c r="B596" t="s">
        <v>76</v>
      </c>
      <c r="C596" t="s">
        <v>77</v>
      </c>
      <c r="D596">
        <v>4</v>
      </c>
      <c r="E596">
        <v>23.6</v>
      </c>
      <c r="F596">
        <v>174.7</v>
      </c>
      <c r="G596">
        <v>0</v>
      </c>
      <c r="H596">
        <v>7</v>
      </c>
      <c r="I596" t="s">
        <v>1661</v>
      </c>
      <c r="J596">
        <v>5.9</v>
      </c>
      <c r="K596" t="str">
        <f>_xlfn.XLOOKUP(B596,zones_lookup!A:A,zones_lookup!B:B,"Not found")</f>
        <v>Mr. Adeyemi</v>
      </c>
      <c r="L596">
        <f>_xlfn.XLOOKUP(B596,zones_lookup!A:A,zones_lookup!C:C,"Not found")</f>
        <v>313000</v>
      </c>
    </row>
    <row r="597" spans="1:12" x14ac:dyDescent="0.3">
      <c r="A597" s="2">
        <v>45757</v>
      </c>
      <c r="B597" t="s">
        <v>89</v>
      </c>
      <c r="C597" t="s">
        <v>131</v>
      </c>
      <c r="D597">
        <v>5</v>
      </c>
      <c r="E597">
        <v>24.7</v>
      </c>
      <c r="F597">
        <v>175.1</v>
      </c>
      <c r="G597">
        <v>2</v>
      </c>
      <c r="H597">
        <v>4</v>
      </c>
      <c r="I597" t="s">
        <v>1668</v>
      </c>
      <c r="J597">
        <v>4.9399999999999995</v>
      </c>
      <c r="K597" t="str">
        <f>_xlfn.XLOOKUP(B597,zones_lookup!A:A,zones_lookup!B:B,"Not found")</f>
        <v>Mr. Salami</v>
      </c>
      <c r="L597">
        <f>_xlfn.XLOOKUP(B597,zones_lookup!A:A,zones_lookup!C:C,"Not found")</f>
        <v>200000</v>
      </c>
    </row>
    <row r="598" spans="1:12" x14ac:dyDescent="0.3">
      <c r="A598" s="2">
        <v>45793</v>
      </c>
      <c r="B598" t="s">
        <v>76</v>
      </c>
      <c r="C598" t="s">
        <v>84</v>
      </c>
      <c r="D598">
        <v>3</v>
      </c>
      <c r="E598">
        <v>21.4</v>
      </c>
      <c r="F598">
        <v>90</v>
      </c>
      <c r="G598">
        <v>4</v>
      </c>
      <c r="H598">
        <v>5</v>
      </c>
      <c r="I598" t="s">
        <v>1663</v>
      </c>
      <c r="J598">
        <v>7.1333333333333329</v>
      </c>
      <c r="K598" t="str">
        <f>_xlfn.XLOOKUP(B598,zones_lookup!A:A,zones_lookup!B:B,"Not found")</f>
        <v>Mr. Adeyemi</v>
      </c>
      <c r="L598">
        <f>_xlfn.XLOOKUP(B598,zones_lookup!A:A,zones_lookup!C:C,"Not found")</f>
        <v>313000</v>
      </c>
    </row>
    <row r="599" spans="1:12" x14ac:dyDescent="0.3">
      <c r="A599" s="2">
        <v>45983</v>
      </c>
      <c r="B599" t="s">
        <v>27</v>
      </c>
      <c r="C599" t="s">
        <v>34</v>
      </c>
      <c r="D599">
        <v>6</v>
      </c>
      <c r="E599">
        <v>38.5</v>
      </c>
      <c r="F599">
        <v>223.6</v>
      </c>
      <c r="G599">
        <v>2</v>
      </c>
      <c r="H599">
        <v>11</v>
      </c>
      <c r="I599" t="s">
        <v>1664</v>
      </c>
      <c r="J599">
        <v>6.416666666666667</v>
      </c>
      <c r="K599" t="str">
        <f>_xlfn.XLOOKUP(B599,zones_lookup!A:A,zones_lookup!B:B,"Not found")</f>
        <v>Mr. Bello</v>
      </c>
      <c r="L599">
        <f>_xlfn.XLOOKUP(B599,zones_lookup!A:A,zones_lookup!C:C,"Not found")</f>
        <v>1288000</v>
      </c>
    </row>
    <row r="600" spans="1:12" x14ac:dyDescent="0.3">
      <c r="A600" s="2">
        <v>45992</v>
      </c>
      <c r="B600" t="s">
        <v>41</v>
      </c>
      <c r="C600" t="s">
        <v>66</v>
      </c>
      <c r="D600">
        <v>4</v>
      </c>
      <c r="E600">
        <v>39.299999999999997</v>
      </c>
      <c r="F600">
        <v>171.5</v>
      </c>
      <c r="G600">
        <v>3</v>
      </c>
      <c r="H600">
        <v>12</v>
      </c>
      <c r="I600" t="s">
        <v>1671</v>
      </c>
      <c r="J600">
        <v>9.8249999999999993</v>
      </c>
      <c r="K600" t="str">
        <f>_xlfn.XLOOKUP(B600,zones_lookup!A:A,zones_lookup!B:B,"Not found")</f>
        <v>Mrs. Adisa</v>
      </c>
      <c r="L600">
        <f>_xlfn.XLOOKUP(B600,zones_lookup!A:A,zones_lookup!C:C,"Not found")</f>
        <v>633000</v>
      </c>
    </row>
    <row r="601" spans="1:12" x14ac:dyDescent="0.3">
      <c r="A601" s="2">
        <v>45775</v>
      </c>
      <c r="B601" t="s">
        <v>93</v>
      </c>
      <c r="C601" t="s">
        <v>101</v>
      </c>
      <c r="D601">
        <v>3</v>
      </c>
      <c r="E601">
        <v>12</v>
      </c>
      <c r="F601">
        <v>109</v>
      </c>
      <c r="G601">
        <v>6</v>
      </c>
      <c r="H601">
        <v>4</v>
      </c>
      <c r="I601" t="s">
        <v>1668</v>
      </c>
      <c r="J601">
        <v>4</v>
      </c>
      <c r="K601" t="str">
        <f>_xlfn.XLOOKUP(B601,zones_lookup!A:A,zones_lookup!B:B,"Not found")</f>
        <v>Mr. Ogunleye</v>
      </c>
      <c r="L601">
        <f>_xlfn.XLOOKUP(B601,zones_lookup!A:A,zones_lookup!C:C,"Not found")</f>
        <v>181000</v>
      </c>
    </row>
    <row r="602" spans="1:12" x14ac:dyDescent="0.3">
      <c r="A602" s="2">
        <v>45958</v>
      </c>
      <c r="B602" t="s">
        <v>27</v>
      </c>
      <c r="C602" t="s">
        <v>38</v>
      </c>
      <c r="D602">
        <v>2</v>
      </c>
      <c r="E602">
        <v>12.9</v>
      </c>
      <c r="F602">
        <v>74.8</v>
      </c>
      <c r="G602">
        <v>1</v>
      </c>
      <c r="H602">
        <v>10</v>
      </c>
      <c r="I602" t="s">
        <v>1669</v>
      </c>
      <c r="J602">
        <v>6.45</v>
      </c>
      <c r="K602" t="str">
        <f>_xlfn.XLOOKUP(B602,zones_lookup!A:A,zones_lookup!B:B,"Not found")</f>
        <v>Mr. Bello</v>
      </c>
      <c r="L602">
        <f>_xlfn.XLOOKUP(B602,zones_lookup!A:A,zones_lookup!C:C,"Not found")</f>
        <v>1288000</v>
      </c>
    </row>
    <row r="603" spans="1:12" x14ac:dyDescent="0.3">
      <c r="A603" s="2">
        <v>45737</v>
      </c>
      <c r="B603" t="s">
        <v>60</v>
      </c>
      <c r="C603" t="s">
        <v>69</v>
      </c>
      <c r="D603">
        <v>6</v>
      </c>
      <c r="E603">
        <v>30.9</v>
      </c>
      <c r="F603">
        <v>222.7</v>
      </c>
      <c r="G603">
        <v>2</v>
      </c>
      <c r="H603">
        <v>3</v>
      </c>
      <c r="I603" t="s">
        <v>1662</v>
      </c>
      <c r="J603">
        <v>5.1499999999999995</v>
      </c>
      <c r="K603" t="str">
        <f>_xlfn.XLOOKUP(B603,zones_lookup!A:A,zones_lookup!B:B,"Not found")</f>
        <v>Mrs. Eze</v>
      </c>
      <c r="L603">
        <f>_xlfn.XLOOKUP(B603,zones_lookup!A:A,zones_lookup!C:C,"Not found")</f>
        <v>535000</v>
      </c>
    </row>
    <row r="604" spans="1:12" x14ac:dyDescent="0.3">
      <c r="A604" s="2">
        <v>45682</v>
      </c>
      <c r="B604" t="s">
        <v>49</v>
      </c>
      <c r="C604" t="s">
        <v>50</v>
      </c>
      <c r="D604">
        <v>2</v>
      </c>
      <c r="E604">
        <v>8.6999999999999993</v>
      </c>
      <c r="F604">
        <v>77.3</v>
      </c>
      <c r="G604">
        <v>2</v>
      </c>
      <c r="H604">
        <v>1</v>
      </c>
      <c r="I604" t="s">
        <v>1660</v>
      </c>
      <c r="J604">
        <v>4.3499999999999996</v>
      </c>
      <c r="K604" t="str">
        <f>_xlfn.XLOOKUP(B604,zones_lookup!A:A,zones_lookup!B:B,"Not found")</f>
        <v>Mrs. Johnson</v>
      </c>
      <c r="L604">
        <f>_xlfn.XLOOKUP(B604,zones_lookup!A:A,zones_lookup!C:C,"Not found")</f>
        <v>241000</v>
      </c>
    </row>
    <row r="605" spans="1:12" x14ac:dyDescent="0.3">
      <c r="A605" s="2">
        <v>45977</v>
      </c>
      <c r="B605" t="s">
        <v>93</v>
      </c>
      <c r="C605" t="s">
        <v>101</v>
      </c>
      <c r="D605">
        <v>5</v>
      </c>
      <c r="E605">
        <v>21.2</v>
      </c>
      <c r="F605">
        <v>187.4</v>
      </c>
      <c r="G605">
        <v>3</v>
      </c>
      <c r="H605">
        <v>11</v>
      </c>
      <c r="I605" t="s">
        <v>1664</v>
      </c>
      <c r="J605">
        <v>4.24</v>
      </c>
      <c r="K605" t="str">
        <f>_xlfn.XLOOKUP(B605,zones_lookup!A:A,zones_lookup!B:B,"Not found")</f>
        <v>Mr. Ogunleye</v>
      </c>
      <c r="L605">
        <f>_xlfn.XLOOKUP(B605,zones_lookup!A:A,zones_lookup!C:C,"Not found")</f>
        <v>181000</v>
      </c>
    </row>
    <row r="606" spans="1:12" x14ac:dyDescent="0.3">
      <c r="A606" s="2">
        <v>45998</v>
      </c>
      <c r="B606" t="s">
        <v>93</v>
      </c>
      <c r="C606" t="s">
        <v>57</v>
      </c>
      <c r="D606">
        <v>2</v>
      </c>
      <c r="E606">
        <v>9.5</v>
      </c>
      <c r="F606">
        <v>71.900000000000006</v>
      </c>
      <c r="G606">
        <v>4</v>
      </c>
      <c r="H606">
        <v>12</v>
      </c>
      <c r="I606" t="s">
        <v>1671</v>
      </c>
      <c r="J606">
        <v>4.75</v>
      </c>
      <c r="K606" t="str">
        <f>_xlfn.XLOOKUP(B606,zones_lookup!A:A,zones_lookup!B:B,"Not found")</f>
        <v>Mr. Ogunleye</v>
      </c>
      <c r="L606">
        <f>_xlfn.XLOOKUP(B606,zones_lookup!A:A,zones_lookup!C:C,"Not found")</f>
        <v>181000</v>
      </c>
    </row>
    <row r="607" spans="1:12" x14ac:dyDescent="0.3">
      <c r="A607" s="2">
        <v>45684</v>
      </c>
      <c r="B607" t="s">
        <v>27</v>
      </c>
      <c r="C607" t="s">
        <v>31</v>
      </c>
      <c r="D607">
        <v>4</v>
      </c>
      <c r="E607">
        <v>29</v>
      </c>
      <c r="F607">
        <v>156.9</v>
      </c>
      <c r="G607">
        <v>1</v>
      </c>
      <c r="H607">
        <v>1</v>
      </c>
      <c r="I607" t="s">
        <v>1660</v>
      </c>
      <c r="J607">
        <v>7.25</v>
      </c>
      <c r="K607" t="str">
        <f>_xlfn.XLOOKUP(B607,zones_lookup!A:A,zones_lookup!B:B,"Not found")</f>
        <v>Mr. Bello</v>
      </c>
      <c r="L607">
        <f>_xlfn.XLOOKUP(B607,zones_lookup!A:A,zones_lookup!C:C,"Not found")</f>
        <v>1288000</v>
      </c>
    </row>
    <row r="608" spans="1:12" x14ac:dyDescent="0.3">
      <c r="A608" s="2">
        <v>45874</v>
      </c>
      <c r="B608" t="s">
        <v>60</v>
      </c>
      <c r="C608" t="s">
        <v>64</v>
      </c>
      <c r="D608">
        <v>2</v>
      </c>
      <c r="E608">
        <v>6.6</v>
      </c>
      <c r="F608">
        <v>87.1</v>
      </c>
      <c r="G608">
        <v>3</v>
      </c>
      <c r="H608">
        <v>8</v>
      </c>
      <c r="I608" t="s">
        <v>1666</v>
      </c>
      <c r="J608">
        <v>3.3</v>
      </c>
      <c r="K608" t="str">
        <f>_xlfn.XLOOKUP(B608,zones_lookup!A:A,zones_lookup!B:B,"Not found")</f>
        <v>Mrs. Eze</v>
      </c>
      <c r="L608">
        <f>_xlfn.XLOOKUP(B608,zones_lookup!A:A,zones_lookup!C:C,"Not found")</f>
        <v>535000</v>
      </c>
    </row>
    <row r="609" spans="1:12" x14ac:dyDescent="0.3">
      <c r="A609" s="2">
        <v>45724</v>
      </c>
      <c r="B609" t="s">
        <v>89</v>
      </c>
      <c r="C609" t="s">
        <v>131</v>
      </c>
      <c r="D609">
        <v>6</v>
      </c>
      <c r="E609">
        <v>31.4</v>
      </c>
      <c r="F609">
        <v>215</v>
      </c>
      <c r="G609">
        <v>3</v>
      </c>
      <c r="H609">
        <v>3</v>
      </c>
      <c r="I609" t="s">
        <v>1662</v>
      </c>
      <c r="J609">
        <v>5.2333333333333334</v>
      </c>
      <c r="K609" t="str">
        <f>_xlfn.XLOOKUP(B609,zones_lookup!A:A,zones_lookup!B:B,"Not found")</f>
        <v>Mr. Salami</v>
      </c>
      <c r="L609">
        <f>_xlfn.XLOOKUP(B609,zones_lookup!A:A,zones_lookup!C:C,"Not found")</f>
        <v>200000</v>
      </c>
    </row>
    <row r="610" spans="1:12" x14ac:dyDescent="0.3">
      <c r="A610" s="2">
        <v>45840</v>
      </c>
      <c r="B610" t="s">
        <v>49</v>
      </c>
      <c r="C610" t="s">
        <v>50</v>
      </c>
      <c r="D610">
        <v>6</v>
      </c>
      <c r="E610">
        <v>23.9</v>
      </c>
      <c r="F610">
        <v>248</v>
      </c>
      <c r="G610">
        <v>2</v>
      </c>
      <c r="H610">
        <v>7</v>
      </c>
      <c r="I610" t="s">
        <v>1661</v>
      </c>
      <c r="J610">
        <v>3.9833333333333329</v>
      </c>
      <c r="K610" t="str">
        <f>_xlfn.XLOOKUP(B610,zones_lookup!A:A,zones_lookup!B:B,"Not found")</f>
        <v>Mrs. Johnson</v>
      </c>
      <c r="L610">
        <f>_xlfn.XLOOKUP(B610,zones_lookup!A:A,zones_lookup!C:C,"Not found")</f>
        <v>241000</v>
      </c>
    </row>
    <row r="611" spans="1:12" x14ac:dyDescent="0.3">
      <c r="A611" s="2">
        <v>45989</v>
      </c>
      <c r="B611" t="s">
        <v>60</v>
      </c>
      <c r="C611" t="s">
        <v>61</v>
      </c>
      <c r="D611">
        <v>3</v>
      </c>
      <c r="E611">
        <v>12.1</v>
      </c>
      <c r="F611">
        <v>95.3</v>
      </c>
      <c r="G611">
        <v>2</v>
      </c>
      <c r="H611">
        <v>11</v>
      </c>
      <c r="I611" t="s">
        <v>1664</v>
      </c>
      <c r="J611">
        <v>4.0333333333333332</v>
      </c>
      <c r="K611" t="str">
        <f>_xlfn.XLOOKUP(B611,zones_lookup!A:A,zones_lookup!B:B,"Not found")</f>
        <v>Mrs. Eze</v>
      </c>
      <c r="L611">
        <f>_xlfn.XLOOKUP(B611,zones_lookup!A:A,zones_lookup!C:C,"Not found")</f>
        <v>535000</v>
      </c>
    </row>
    <row r="612" spans="1:12" x14ac:dyDescent="0.3">
      <c r="A612" s="2">
        <v>45677</v>
      </c>
      <c r="B612" t="s">
        <v>93</v>
      </c>
      <c r="C612" t="s">
        <v>101</v>
      </c>
      <c r="D612">
        <v>4</v>
      </c>
      <c r="F612">
        <v>143.80000000000001</v>
      </c>
      <c r="G612">
        <v>3</v>
      </c>
      <c r="H612">
        <v>1</v>
      </c>
      <c r="I612" t="s">
        <v>1660</v>
      </c>
      <c r="K612" t="str">
        <f>_xlfn.XLOOKUP(B612,zones_lookup!A:A,zones_lookup!B:B,"Not found")</f>
        <v>Mr. Ogunleye</v>
      </c>
      <c r="L612">
        <f>_xlfn.XLOOKUP(B612,zones_lookup!A:A,zones_lookup!C:C,"Not found")</f>
        <v>181000</v>
      </c>
    </row>
    <row r="613" spans="1:12" x14ac:dyDescent="0.3">
      <c r="A613" s="2">
        <v>46020</v>
      </c>
      <c r="B613" t="s">
        <v>76</v>
      </c>
      <c r="C613" t="s">
        <v>77</v>
      </c>
      <c r="D613">
        <v>2</v>
      </c>
      <c r="E613">
        <v>16.8</v>
      </c>
      <c r="F613">
        <v>91.8</v>
      </c>
      <c r="G613">
        <v>2</v>
      </c>
      <c r="H613">
        <v>12</v>
      </c>
      <c r="I613" t="s">
        <v>1671</v>
      </c>
      <c r="J613">
        <v>8.4</v>
      </c>
      <c r="K613" t="str">
        <f>_xlfn.XLOOKUP(B613,zones_lookup!A:A,zones_lookup!B:B,"Not found")</f>
        <v>Mr. Adeyemi</v>
      </c>
      <c r="L613">
        <f>_xlfn.XLOOKUP(B613,zones_lookup!A:A,zones_lookup!C:C,"Not found")</f>
        <v>313000</v>
      </c>
    </row>
    <row r="614" spans="1:12" x14ac:dyDescent="0.3">
      <c r="A614" s="2">
        <v>45854</v>
      </c>
      <c r="B614" t="s">
        <v>76</v>
      </c>
      <c r="C614" t="s">
        <v>80</v>
      </c>
      <c r="D614">
        <v>2</v>
      </c>
      <c r="E614">
        <v>12.8</v>
      </c>
      <c r="F614">
        <v>66.900000000000006</v>
      </c>
      <c r="H614">
        <v>7</v>
      </c>
      <c r="I614" t="s">
        <v>1661</v>
      </c>
      <c r="J614">
        <v>6.4</v>
      </c>
      <c r="K614" t="str">
        <f>_xlfn.XLOOKUP(B614,zones_lookup!A:A,zones_lookup!B:B,"Not found")</f>
        <v>Mr. Adeyemi</v>
      </c>
      <c r="L614">
        <f>_xlfn.XLOOKUP(B614,zones_lookup!A:A,zones_lookup!C:C,"Not found")</f>
        <v>313000</v>
      </c>
    </row>
    <row r="615" spans="1:12" x14ac:dyDescent="0.3">
      <c r="A615" s="2">
        <v>45863</v>
      </c>
      <c r="B615" t="s">
        <v>60</v>
      </c>
      <c r="C615" t="s">
        <v>64</v>
      </c>
      <c r="D615">
        <v>2</v>
      </c>
      <c r="E615">
        <v>8</v>
      </c>
      <c r="F615">
        <v>75</v>
      </c>
      <c r="H615">
        <v>7</v>
      </c>
      <c r="I615" t="s">
        <v>1661</v>
      </c>
      <c r="J615">
        <v>4</v>
      </c>
      <c r="K615" t="str">
        <f>_xlfn.XLOOKUP(B615,zones_lookup!A:A,zones_lookup!B:B,"Not found")</f>
        <v>Mrs. Eze</v>
      </c>
      <c r="L615">
        <f>_xlfn.XLOOKUP(B615,zones_lookup!A:A,zones_lookup!C:C,"Not found")</f>
        <v>535000</v>
      </c>
    </row>
    <row r="616" spans="1:12" x14ac:dyDescent="0.3">
      <c r="A616" s="2">
        <v>45768</v>
      </c>
      <c r="B616" t="s">
        <v>76</v>
      </c>
      <c r="C616" t="s">
        <v>77</v>
      </c>
      <c r="D616">
        <v>4</v>
      </c>
      <c r="E616">
        <v>26.9</v>
      </c>
      <c r="F616">
        <v>123.7</v>
      </c>
      <c r="G616">
        <v>2</v>
      </c>
      <c r="H616">
        <v>4</v>
      </c>
      <c r="I616" t="s">
        <v>1668</v>
      </c>
      <c r="J616">
        <v>6.7249999999999996</v>
      </c>
      <c r="K616" t="str">
        <f>_xlfn.XLOOKUP(B616,zones_lookup!A:A,zones_lookup!B:B,"Not found")</f>
        <v>Mr. Adeyemi</v>
      </c>
      <c r="L616">
        <f>_xlfn.XLOOKUP(B616,zones_lookup!A:A,zones_lookup!C:C,"Not found")</f>
        <v>313000</v>
      </c>
    </row>
    <row r="617" spans="1:12" x14ac:dyDescent="0.3">
      <c r="A617" s="2">
        <v>45875</v>
      </c>
      <c r="B617" t="s">
        <v>27</v>
      </c>
      <c r="C617" t="s">
        <v>28</v>
      </c>
      <c r="D617">
        <v>2</v>
      </c>
      <c r="E617">
        <v>13.7</v>
      </c>
      <c r="F617">
        <v>69.099999999999994</v>
      </c>
      <c r="G617">
        <v>0</v>
      </c>
      <c r="H617">
        <v>8</v>
      </c>
      <c r="I617" t="s">
        <v>1666</v>
      </c>
      <c r="J617">
        <v>6.85</v>
      </c>
      <c r="K617" t="str">
        <f>_xlfn.XLOOKUP(B617,zones_lookup!A:A,zones_lookup!B:B,"Not found")</f>
        <v>Mr. Bello</v>
      </c>
      <c r="L617">
        <f>_xlfn.XLOOKUP(B617,zones_lookup!A:A,zones_lookup!C:C,"Not found")</f>
        <v>1288000</v>
      </c>
    </row>
    <row r="618" spans="1:12" x14ac:dyDescent="0.3">
      <c r="A618" s="2">
        <v>45884</v>
      </c>
      <c r="B618" t="s">
        <v>93</v>
      </c>
      <c r="C618" t="s">
        <v>57</v>
      </c>
      <c r="D618">
        <v>6</v>
      </c>
      <c r="E618">
        <v>21.7</v>
      </c>
      <c r="F618">
        <v>186.7</v>
      </c>
      <c r="G618">
        <v>1</v>
      </c>
      <c r="H618">
        <v>8</v>
      </c>
      <c r="I618" t="s">
        <v>1666</v>
      </c>
      <c r="J618">
        <v>3.6166666666666667</v>
      </c>
      <c r="K618" t="str">
        <f>_xlfn.XLOOKUP(B618,zones_lookup!A:A,zones_lookup!B:B,"Not found")</f>
        <v>Mr. Ogunleye</v>
      </c>
      <c r="L618">
        <f>_xlfn.XLOOKUP(B618,zones_lookup!A:A,zones_lookup!C:C,"Not found")</f>
        <v>181000</v>
      </c>
    </row>
    <row r="619" spans="1:12" x14ac:dyDescent="0.3">
      <c r="A619" s="2">
        <v>45910</v>
      </c>
      <c r="B619" t="s">
        <v>76</v>
      </c>
      <c r="C619" t="s">
        <v>77</v>
      </c>
      <c r="D619">
        <v>5</v>
      </c>
      <c r="E619">
        <v>31</v>
      </c>
      <c r="F619">
        <v>144.9</v>
      </c>
      <c r="G619">
        <v>1</v>
      </c>
      <c r="H619">
        <v>9</v>
      </c>
      <c r="I619" t="s">
        <v>1670</v>
      </c>
      <c r="J619">
        <v>6.2</v>
      </c>
      <c r="K619" t="str">
        <f>_xlfn.XLOOKUP(B619,zones_lookup!A:A,zones_lookup!B:B,"Not found")</f>
        <v>Mr. Adeyemi</v>
      </c>
      <c r="L619">
        <f>_xlfn.XLOOKUP(B619,zones_lookup!A:A,zones_lookup!C:C,"Not found")</f>
        <v>313000</v>
      </c>
    </row>
    <row r="620" spans="1:12" x14ac:dyDescent="0.3">
      <c r="A620" s="2">
        <v>45677</v>
      </c>
      <c r="B620" t="s">
        <v>93</v>
      </c>
      <c r="C620" t="s">
        <v>101</v>
      </c>
      <c r="D620">
        <v>4</v>
      </c>
      <c r="E620">
        <v>16.100000000000001</v>
      </c>
      <c r="F620">
        <v>155.1</v>
      </c>
      <c r="G620">
        <v>4</v>
      </c>
      <c r="H620">
        <v>1</v>
      </c>
      <c r="I620" t="s">
        <v>1660</v>
      </c>
      <c r="J620">
        <v>4.0250000000000004</v>
      </c>
      <c r="K620" t="str">
        <f>_xlfn.XLOOKUP(B620,zones_lookup!A:A,zones_lookup!B:B,"Not found")</f>
        <v>Mr. Ogunleye</v>
      </c>
      <c r="L620">
        <f>_xlfn.XLOOKUP(B620,zones_lookup!A:A,zones_lookup!C:C,"Not found")</f>
        <v>181000</v>
      </c>
    </row>
    <row r="621" spans="1:12" x14ac:dyDescent="0.3">
      <c r="A621" s="2">
        <v>45672</v>
      </c>
      <c r="B621" t="s">
        <v>89</v>
      </c>
      <c r="C621" t="s">
        <v>90</v>
      </c>
      <c r="D621">
        <v>2</v>
      </c>
      <c r="E621">
        <v>13.5</v>
      </c>
      <c r="F621">
        <v>78.3</v>
      </c>
      <c r="G621">
        <v>0</v>
      </c>
      <c r="H621">
        <v>1</v>
      </c>
      <c r="I621" t="s">
        <v>1660</v>
      </c>
      <c r="J621">
        <v>6.75</v>
      </c>
      <c r="K621" t="str">
        <f>_xlfn.XLOOKUP(B621,zones_lookup!A:A,zones_lookup!B:B,"Not found")</f>
        <v>Mr. Salami</v>
      </c>
      <c r="L621">
        <f>_xlfn.XLOOKUP(B621,zones_lookup!A:A,zones_lookup!C:C,"Not found")</f>
        <v>200000</v>
      </c>
    </row>
    <row r="622" spans="1:12" x14ac:dyDescent="0.3">
      <c r="A622" s="2">
        <v>45851</v>
      </c>
      <c r="B622" t="s">
        <v>76</v>
      </c>
      <c r="C622" t="s">
        <v>84</v>
      </c>
      <c r="D622">
        <v>5</v>
      </c>
      <c r="E622">
        <v>31.8</v>
      </c>
      <c r="F622">
        <v>212.2</v>
      </c>
      <c r="G622">
        <v>0</v>
      </c>
      <c r="H622">
        <v>7</v>
      </c>
      <c r="I622" t="s">
        <v>1661</v>
      </c>
      <c r="J622">
        <v>6.36</v>
      </c>
      <c r="K622" t="str">
        <f>_xlfn.XLOOKUP(B622,zones_lookup!A:A,zones_lookup!B:B,"Not found")</f>
        <v>Mr. Adeyemi</v>
      </c>
      <c r="L622">
        <f>_xlfn.XLOOKUP(B622,zones_lookup!A:A,zones_lookup!C:C,"Not found")</f>
        <v>313000</v>
      </c>
    </row>
    <row r="623" spans="1:12" x14ac:dyDescent="0.3">
      <c r="A623" s="2">
        <v>46021</v>
      </c>
      <c r="B623" t="s">
        <v>60</v>
      </c>
      <c r="C623" t="s">
        <v>61</v>
      </c>
      <c r="D623">
        <v>4</v>
      </c>
      <c r="E623">
        <v>20.9</v>
      </c>
      <c r="F623">
        <v>173.9</v>
      </c>
      <c r="G623">
        <v>0</v>
      </c>
      <c r="H623">
        <v>12</v>
      </c>
      <c r="I623" t="s">
        <v>1671</v>
      </c>
      <c r="J623">
        <v>5.2249999999999996</v>
      </c>
      <c r="K623" t="str">
        <f>_xlfn.XLOOKUP(B623,zones_lookup!A:A,zones_lookup!B:B,"Not found")</f>
        <v>Mrs. Eze</v>
      </c>
      <c r="L623">
        <f>_xlfn.XLOOKUP(B623,zones_lookup!A:A,zones_lookup!C:C,"Not found")</f>
        <v>535000</v>
      </c>
    </row>
    <row r="624" spans="1:12" x14ac:dyDescent="0.3">
      <c r="A624" s="2">
        <v>45915</v>
      </c>
      <c r="B624" t="s">
        <v>108</v>
      </c>
      <c r="C624" t="s">
        <v>169</v>
      </c>
      <c r="D624">
        <v>5</v>
      </c>
      <c r="E624">
        <v>30.4</v>
      </c>
      <c r="F624">
        <v>187.8</v>
      </c>
      <c r="G624">
        <v>0</v>
      </c>
      <c r="H624">
        <v>9</v>
      </c>
      <c r="I624" t="s">
        <v>1670</v>
      </c>
      <c r="J624">
        <v>6.08</v>
      </c>
      <c r="K624" t="str">
        <f>_xlfn.XLOOKUP(B624,zones_lookup!A:A,zones_lookup!B:B,"Not found")</f>
        <v>Mrs. Okafor</v>
      </c>
      <c r="L624">
        <f>_xlfn.XLOOKUP(B624,zones_lookup!A:A,zones_lookup!C:C,"Not found")</f>
        <v>503000</v>
      </c>
    </row>
    <row r="625" spans="1:12" x14ac:dyDescent="0.3">
      <c r="A625" s="2">
        <v>45939</v>
      </c>
      <c r="B625" t="s">
        <v>76</v>
      </c>
      <c r="C625" t="s">
        <v>80</v>
      </c>
      <c r="D625">
        <v>3</v>
      </c>
      <c r="E625">
        <v>23.2</v>
      </c>
      <c r="F625">
        <v>120.4</v>
      </c>
      <c r="G625">
        <v>1</v>
      </c>
      <c r="H625">
        <v>10</v>
      </c>
      <c r="I625" t="s">
        <v>1669</v>
      </c>
      <c r="J625">
        <v>7.7333333333333334</v>
      </c>
      <c r="K625" t="str">
        <f>_xlfn.XLOOKUP(B625,zones_lookup!A:A,zones_lookup!B:B,"Not found")</f>
        <v>Mr. Adeyemi</v>
      </c>
      <c r="L625">
        <f>_xlfn.XLOOKUP(B625,zones_lookup!A:A,zones_lookup!C:C,"Not found")</f>
        <v>313000</v>
      </c>
    </row>
    <row r="626" spans="1:12" x14ac:dyDescent="0.3">
      <c r="A626" s="2">
        <v>45931</v>
      </c>
      <c r="B626" t="s">
        <v>27</v>
      </c>
      <c r="C626" t="s">
        <v>31</v>
      </c>
      <c r="D626">
        <v>4</v>
      </c>
      <c r="E626">
        <v>25.2</v>
      </c>
      <c r="F626">
        <v>141.4</v>
      </c>
      <c r="G626">
        <v>0</v>
      </c>
      <c r="H626">
        <v>10</v>
      </c>
      <c r="I626" t="s">
        <v>1669</v>
      </c>
      <c r="J626">
        <v>6.3</v>
      </c>
      <c r="K626" t="str">
        <f>_xlfn.XLOOKUP(B626,zones_lookup!A:A,zones_lookup!B:B,"Not found")</f>
        <v>Mr. Bello</v>
      </c>
      <c r="L626">
        <f>_xlfn.XLOOKUP(B626,zones_lookup!A:A,zones_lookup!C:C,"Not found")</f>
        <v>1288000</v>
      </c>
    </row>
    <row r="627" spans="1:12" x14ac:dyDescent="0.3">
      <c r="A627" s="2">
        <v>45702</v>
      </c>
      <c r="B627" t="s">
        <v>41</v>
      </c>
      <c r="C627" t="s">
        <v>42</v>
      </c>
      <c r="D627">
        <v>2</v>
      </c>
      <c r="E627">
        <v>12.8</v>
      </c>
      <c r="F627">
        <v>95.1</v>
      </c>
      <c r="G627">
        <v>1</v>
      </c>
      <c r="H627">
        <v>2</v>
      </c>
      <c r="I627" t="s">
        <v>1665</v>
      </c>
      <c r="J627">
        <v>6.4</v>
      </c>
      <c r="K627" t="str">
        <f>_xlfn.XLOOKUP(B627,zones_lookup!A:A,zones_lookup!B:B,"Not found")</f>
        <v>Mrs. Adisa</v>
      </c>
      <c r="L627">
        <f>_xlfn.XLOOKUP(B627,zones_lookup!A:A,zones_lookup!C:C,"Not found")</f>
        <v>633000</v>
      </c>
    </row>
    <row r="628" spans="1:12" x14ac:dyDescent="0.3">
      <c r="A628" s="2">
        <v>45898</v>
      </c>
      <c r="B628" t="s">
        <v>108</v>
      </c>
      <c r="C628" t="s">
        <v>208</v>
      </c>
      <c r="D628">
        <v>3</v>
      </c>
      <c r="E628">
        <v>17.7</v>
      </c>
      <c r="F628">
        <v>128.80000000000001</v>
      </c>
      <c r="G628">
        <v>0</v>
      </c>
      <c r="H628">
        <v>8</v>
      </c>
      <c r="I628" t="s">
        <v>1666</v>
      </c>
      <c r="J628">
        <v>5.8999999999999995</v>
      </c>
      <c r="K628" t="str">
        <f>_xlfn.XLOOKUP(B628,zones_lookup!A:A,zones_lookup!B:B,"Not found")</f>
        <v>Mrs. Okafor</v>
      </c>
      <c r="L628">
        <f>_xlfn.XLOOKUP(B628,zones_lookup!A:A,zones_lookup!C:C,"Not found")</f>
        <v>503000</v>
      </c>
    </row>
    <row r="629" spans="1:12" x14ac:dyDescent="0.3">
      <c r="A629" s="2">
        <v>45938</v>
      </c>
      <c r="B629" t="s">
        <v>93</v>
      </c>
      <c r="C629" t="s">
        <v>101</v>
      </c>
      <c r="D629">
        <v>5</v>
      </c>
      <c r="E629">
        <v>18.5</v>
      </c>
      <c r="F629">
        <v>216.1</v>
      </c>
      <c r="G629">
        <v>1</v>
      </c>
      <c r="H629">
        <v>10</v>
      </c>
      <c r="I629" t="s">
        <v>1669</v>
      </c>
      <c r="J629">
        <v>3.7</v>
      </c>
      <c r="K629" t="str">
        <f>_xlfn.XLOOKUP(B629,zones_lookup!A:A,zones_lookup!B:B,"Not found")</f>
        <v>Mr. Ogunleye</v>
      </c>
      <c r="L629">
        <f>_xlfn.XLOOKUP(B629,zones_lookup!A:A,zones_lookup!C:C,"Not found")</f>
        <v>181000</v>
      </c>
    </row>
    <row r="630" spans="1:12" x14ac:dyDescent="0.3">
      <c r="A630" s="2">
        <v>45798</v>
      </c>
      <c r="B630" t="s">
        <v>60</v>
      </c>
      <c r="C630" t="s">
        <v>61</v>
      </c>
      <c r="D630">
        <v>6</v>
      </c>
      <c r="E630">
        <v>22.3</v>
      </c>
      <c r="F630">
        <v>240.2</v>
      </c>
      <c r="G630">
        <v>0</v>
      </c>
      <c r="H630">
        <v>5</v>
      </c>
      <c r="I630" t="s">
        <v>1663</v>
      </c>
      <c r="J630">
        <v>3.7166666666666668</v>
      </c>
      <c r="K630" t="str">
        <f>_xlfn.XLOOKUP(B630,zones_lookup!A:A,zones_lookup!B:B,"Not found")</f>
        <v>Mrs. Eze</v>
      </c>
      <c r="L630">
        <f>_xlfn.XLOOKUP(B630,zones_lookup!A:A,zones_lookup!C:C,"Not found")</f>
        <v>535000</v>
      </c>
    </row>
    <row r="631" spans="1:12" x14ac:dyDescent="0.3">
      <c r="A631" s="2">
        <v>45965</v>
      </c>
      <c r="B631" t="s">
        <v>93</v>
      </c>
      <c r="C631" t="s">
        <v>101</v>
      </c>
      <c r="D631">
        <v>6</v>
      </c>
      <c r="E631">
        <v>23.7</v>
      </c>
      <c r="F631">
        <v>220.4</v>
      </c>
      <c r="G631">
        <v>1</v>
      </c>
      <c r="H631">
        <v>11</v>
      </c>
      <c r="I631" t="s">
        <v>1664</v>
      </c>
      <c r="J631">
        <v>3.9499999999999997</v>
      </c>
      <c r="K631" t="str">
        <f>_xlfn.XLOOKUP(B631,zones_lookup!A:A,zones_lookup!B:B,"Not found")</f>
        <v>Mr. Ogunleye</v>
      </c>
      <c r="L631">
        <f>_xlfn.XLOOKUP(B631,zones_lookup!A:A,zones_lookup!C:C,"Not found")</f>
        <v>181000</v>
      </c>
    </row>
    <row r="632" spans="1:12" x14ac:dyDescent="0.3">
      <c r="A632" s="2">
        <v>45698</v>
      </c>
      <c r="B632" t="s">
        <v>108</v>
      </c>
      <c r="C632" t="s">
        <v>109</v>
      </c>
      <c r="D632">
        <v>6</v>
      </c>
      <c r="E632">
        <v>29.2</v>
      </c>
      <c r="F632">
        <v>218.1</v>
      </c>
      <c r="G632">
        <v>0</v>
      </c>
      <c r="H632">
        <v>2</v>
      </c>
      <c r="I632" t="s">
        <v>1665</v>
      </c>
      <c r="J632">
        <v>4.8666666666666663</v>
      </c>
      <c r="K632" t="str">
        <f>_xlfn.XLOOKUP(B632,zones_lookup!A:A,zones_lookup!B:B,"Not found")</f>
        <v>Mrs. Okafor</v>
      </c>
      <c r="L632">
        <f>_xlfn.XLOOKUP(B632,zones_lookup!A:A,zones_lookup!C:C,"Not found")</f>
        <v>503000</v>
      </c>
    </row>
    <row r="633" spans="1:12" x14ac:dyDescent="0.3">
      <c r="A633" s="2">
        <v>45750</v>
      </c>
      <c r="B633" t="s">
        <v>76</v>
      </c>
      <c r="C633" t="s">
        <v>84</v>
      </c>
      <c r="D633">
        <v>4</v>
      </c>
      <c r="E633">
        <v>29.3</v>
      </c>
      <c r="F633">
        <v>138.5</v>
      </c>
      <c r="G633">
        <v>1</v>
      </c>
      <c r="H633">
        <v>4</v>
      </c>
      <c r="I633" t="s">
        <v>1668</v>
      </c>
      <c r="J633">
        <v>7.3250000000000002</v>
      </c>
      <c r="K633" t="str">
        <f>_xlfn.XLOOKUP(B633,zones_lookup!A:A,zones_lookup!B:B,"Not found")</f>
        <v>Mr. Adeyemi</v>
      </c>
      <c r="L633">
        <f>_xlfn.XLOOKUP(B633,zones_lookup!A:A,zones_lookup!C:C,"Not found")</f>
        <v>313000</v>
      </c>
    </row>
    <row r="634" spans="1:12" x14ac:dyDescent="0.3">
      <c r="A634" s="2">
        <v>45833</v>
      </c>
      <c r="B634" t="s">
        <v>49</v>
      </c>
      <c r="C634" t="s">
        <v>52</v>
      </c>
      <c r="D634">
        <v>6</v>
      </c>
      <c r="E634">
        <v>27</v>
      </c>
      <c r="F634">
        <v>236.5</v>
      </c>
      <c r="G634">
        <v>1</v>
      </c>
      <c r="H634">
        <v>6</v>
      </c>
      <c r="I634" t="s">
        <v>1667</v>
      </c>
      <c r="J634">
        <v>4.5</v>
      </c>
      <c r="K634" t="str">
        <f>_xlfn.XLOOKUP(B634,zones_lookup!A:A,zones_lookup!B:B,"Not found")</f>
        <v>Mrs. Johnson</v>
      </c>
      <c r="L634">
        <f>_xlfn.XLOOKUP(B634,zones_lookup!A:A,zones_lookup!C:C,"Not found")</f>
        <v>241000</v>
      </c>
    </row>
    <row r="635" spans="1:12" x14ac:dyDescent="0.3">
      <c r="A635" s="2">
        <v>45659</v>
      </c>
      <c r="B635" t="s">
        <v>60</v>
      </c>
      <c r="C635" t="s">
        <v>69</v>
      </c>
      <c r="D635">
        <v>4</v>
      </c>
      <c r="E635">
        <v>13.8</v>
      </c>
      <c r="F635">
        <v>151.5</v>
      </c>
      <c r="G635">
        <v>2</v>
      </c>
      <c r="H635">
        <v>1</v>
      </c>
      <c r="I635" t="s">
        <v>1660</v>
      </c>
      <c r="J635">
        <v>3.45</v>
      </c>
      <c r="K635" t="str">
        <f>_xlfn.XLOOKUP(B635,zones_lookup!A:A,zones_lookup!B:B,"Not found")</f>
        <v>Mrs. Eze</v>
      </c>
      <c r="L635">
        <f>_xlfn.XLOOKUP(B635,zones_lookup!A:A,zones_lookup!C:C,"Not found")</f>
        <v>535000</v>
      </c>
    </row>
    <row r="636" spans="1:12" x14ac:dyDescent="0.3">
      <c r="A636" s="2">
        <v>45904</v>
      </c>
      <c r="B636" t="s">
        <v>41</v>
      </c>
      <c r="C636" t="s">
        <v>46</v>
      </c>
      <c r="D636">
        <v>6</v>
      </c>
      <c r="E636">
        <v>40.700000000000003</v>
      </c>
      <c r="F636">
        <v>186.7</v>
      </c>
      <c r="G636">
        <v>2</v>
      </c>
      <c r="H636">
        <v>9</v>
      </c>
      <c r="I636" t="s">
        <v>1670</v>
      </c>
      <c r="J636">
        <v>6.7833333333333341</v>
      </c>
      <c r="K636" t="str">
        <f>_xlfn.XLOOKUP(B636,zones_lookup!A:A,zones_lookup!B:B,"Not found")</f>
        <v>Mrs. Adisa</v>
      </c>
      <c r="L636">
        <f>_xlfn.XLOOKUP(B636,zones_lookup!A:A,zones_lookup!C:C,"Not found")</f>
        <v>633000</v>
      </c>
    </row>
    <row r="637" spans="1:12" x14ac:dyDescent="0.3">
      <c r="A637" s="2">
        <v>45973</v>
      </c>
      <c r="B637" t="s">
        <v>89</v>
      </c>
      <c r="C637" t="s">
        <v>131</v>
      </c>
      <c r="D637">
        <v>4</v>
      </c>
      <c r="E637">
        <v>23</v>
      </c>
      <c r="F637">
        <v>140.69999999999999</v>
      </c>
      <c r="G637">
        <v>1</v>
      </c>
      <c r="H637">
        <v>11</v>
      </c>
      <c r="I637" t="s">
        <v>1664</v>
      </c>
      <c r="J637">
        <v>5.75</v>
      </c>
      <c r="K637" t="str">
        <f>_xlfn.XLOOKUP(B637,zones_lookup!A:A,zones_lookup!B:B,"Not found")</f>
        <v>Mr. Salami</v>
      </c>
      <c r="L637">
        <f>_xlfn.XLOOKUP(B637,zones_lookup!A:A,zones_lookup!C:C,"Not found")</f>
        <v>200000</v>
      </c>
    </row>
    <row r="638" spans="1:12" x14ac:dyDescent="0.3">
      <c r="A638" s="2">
        <v>45880</v>
      </c>
      <c r="B638" t="s">
        <v>27</v>
      </c>
      <c r="C638" t="s">
        <v>34</v>
      </c>
      <c r="D638">
        <v>4</v>
      </c>
      <c r="E638">
        <v>25.6</v>
      </c>
      <c r="F638">
        <v>171.4</v>
      </c>
      <c r="G638">
        <v>2</v>
      </c>
      <c r="H638">
        <v>8</v>
      </c>
      <c r="I638" t="s">
        <v>1666</v>
      </c>
      <c r="J638">
        <v>6.4</v>
      </c>
      <c r="K638" t="str">
        <f>_xlfn.XLOOKUP(B638,zones_lookup!A:A,zones_lookup!B:B,"Not found")</f>
        <v>Mr. Bello</v>
      </c>
      <c r="L638">
        <f>_xlfn.XLOOKUP(B638,zones_lookup!A:A,zones_lookup!C:C,"Not found")</f>
        <v>1288000</v>
      </c>
    </row>
    <row r="639" spans="1:12" x14ac:dyDescent="0.3">
      <c r="A639" s="2">
        <v>45781</v>
      </c>
      <c r="B639" t="s">
        <v>49</v>
      </c>
      <c r="C639" t="s">
        <v>52</v>
      </c>
      <c r="D639">
        <v>5</v>
      </c>
      <c r="E639">
        <v>17.7</v>
      </c>
      <c r="F639">
        <v>163.9</v>
      </c>
      <c r="G639">
        <v>3</v>
      </c>
      <c r="H639">
        <v>5</v>
      </c>
      <c r="I639" t="s">
        <v>1663</v>
      </c>
      <c r="J639">
        <v>3.54</v>
      </c>
      <c r="K639" t="str">
        <f>_xlfn.XLOOKUP(B639,zones_lookup!A:A,zones_lookup!B:B,"Not found")</f>
        <v>Mrs. Johnson</v>
      </c>
      <c r="L639">
        <f>_xlfn.XLOOKUP(B639,zones_lookup!A:A,zones_lookup!C:C,"Not found")</f>
        <v>241000</v>
      </c>
    </row>
    <row r="640" spans="1:12" x14ac:dyDescent="0.3">
      <c r="A640" s="2">
        <v>45738</v>
      </c>
      <c r="B640" t="s">
        <v>108</v>
      </c>
      <c r="C640" t="s">
        <v>109</v>
      </c>
      <c r="D640">
        <v>3</v>
      </c>
      <c r="E640">
        <v>18.600000000000001</v>
      </c>
      <c r="F640">
        <v>147.6</v>
      </c>
      <c r="G640">
        <v>2</v>
      </c>
      <c r="H640">
        <v>3</v>
      </c>
      <c r="I640" t="s">
        <v>1662</v>
      </c>
      <c r="J640">
        <v>6.2</v>
      </c>
      <c r="K640" t="str">
        <f>_xlfn.XLOOKUP(B640,zones_lookup!A:A,zones_lookup!B:B,"Not found")</f>
        <v>Mrs. Okafor</v>
      </c>
      <c r="L640">
        <f>_xlfn.XLOOKUP(B640,zones_lookup!A:A,zones_lookup!C:C,"Not found")</f>
        <v>503000</v>
      </c>
    </row>
    <row r="641" spans="1:12" x14ac:dyDescent="0.3">
      <c r="A641" s="2">
        <v>45948</v>
      </c>
      <c r="B641" t="s">
        <v>76</v>
      </c>
      <c r="C641" t="s">
        <v>80</v>
      </c>
      <c r="D641">
        <v>3</v>
      </c>
      <c r="E641">
        <v>19.2</v>
      </c>
      <c r="F641">
        <v>104.6</v>
      </c>
      <c r="G641">
        <v>2</v>
      </c>
      <c r="H641">
        <v>10</v>
      </c>
      <c r="I641" t="s">
        <v>1669</v>
      </c>
      <c r="J641">
        <v>6.3999999999999995</v>
      </c>
      <c r="K641" t="str">
        <f>_xlfn.XLOOKUP(B641,zones_lookup!A:A,zones_lookup!B:B,"Not found")</f>
        <v>Mr. Adeyemi</v>
      </c>
      <c r="L641">
        <f>_xlfn.XLOOKUP(B641,zones_lookup!A:A,zones_lookup!C:C,"Not found")</f>
        <v>313000</v>
      </c>
    </row>
    <row r="642" spans="1:12" x14ac:dyDescent="0.3">
      <c r="A642" s="2">
        <v>45659</v>
      </c>
      <c r="B642" t="s">
        <v>108</v>
      </c>
      <c r="C642" t="s">
        <v>169</v>
      </c>
      <c r="D642">
        <v>2</v>
      </c>
      <c r="E642">
        <v>12.2</v>
      </c>
      <c r="F642">
        <v>78.7</v>
      </c>
      <c r="G642">
        <v>2</v>
      </c>
      <c r="H642">
        <v>1</v>
      </c>
      <c r="I642" t="s">
        <v>1660</v>
      </c>
      <c r="J642">
        <v>6.1</v>
      </c>
      <c r="K642" t="str">
        <f>_xlfn.XLOOKUP(B642,zones_lookup!A:A,zones_lookup!B:B,"Not found")</f>
        <v>Mrs. Okafor</v>
      </c>
      <c r="L642">
        <f>_xlfn.XLOOKUP(B642,zones_lookup!A:A,zones_lookup!C:C,"Not found")</f>
        <v>503000</v>
      </c>
    </row>
    <row r="643" spans="1:12" x14ac:dyDescent="0.3">
      <c r="A643" s="2">
        <v>45957</v>
      </c>
      <c r="B643" t="s">
        <v>60</v>
      </c>
      <c r="C643" t="s">
        <v>64</v>
      </c>
      <c r="D643">
        <v>3</v>
      </c>
      <c r="E643">
        <v>15</v>
      </c>
      <c r="F643">
        <v>119</v>
      </c>
      <c r="G643">
        <v>2</v>
      </c>
      <c r="H643">
        <v>10</v>
      </c>
      <c r="I643" t="s">
        <v>1669</v>
      </c>
      <c r="J643">
        <v>5</v>
      </c>
      <c r="K643" t="str">
        <f>_xlfn.XLOOKUP(B643,zones_lookup!A:A,zones_lookup!B:B,"Not found")</f>
        <v>Mrs. Eze</v>
      </c>
      <c r="L643">
        <f>_xlfn.XLOOKUP(B643,zones_lookup!A:A,zones_lookup!C:C,"Not found")</f>
        <v>535000</v>
      </c>
    </row>
    <row r="644" spans="1:12" x14ac:dyDescent="0.3">
      <c r="A644" s="2">
        <v>45846</v>
      </c>
      <c r="B644" t="s">
        <v>60</v>
      </c>
      <c r="C644" t="s">
        <v>61</v>
      </c>
      <c r="D644">
        <v>5</v>
      </c>
      <c r="E644">
        <v>17.5</v>
      </c>
      <c r="F644">
        <v>207.2</v>
      </c>
      <c r="G644">
        <v>3</v>
      </c>
      <c r="H644">
        <v>7</v>
      </c>
      <c r="I644" t="s">
        <v>1661</v>
      </c>
      <c r="J644">
        <v>3.5</v>
      </c>
      <c r="K644" t="str">
        <f>_xlfn.XLOOKUP(B644,zones_lookup!A:A,zones_lookup!B:B,"Not found")</f>
        <v>Mrs. Eze</v>
      </c>
      <c r="L644">
        <f>_xlfn.XLOOKUP(B644,zones_lookup!A:A,zones_lookup!C:C,"Not found")</f>
        <v>535000</v>
      </c>
    </row>
    <row r="645" spans="1:12" x14ac:dyDescent="0.3">
      <c r="A645" s="2">
        <v>45875</v>
      </c>
      <c r="B645" t="s">
        <v>49</v>
      </c>
      <c r="C645" t="s">
        <v>52</v>
      </c>
      <c r="D645">
        <v>3</v>
      </c>
      <c r="E645">
        <v>13.1</v>
      </c>
      <c r="F645">
        <v>136.30000000000001</v>
      </c>
      <c r="G645">
        <v>1</v>
      </c>
      <c r="H645">
        <v>8</v>
      </c>
      <c r="I645" t="s">
        <v>1666</v>
      </c>
      <c r="J645">
        <v>4.3666666666666663</v>
      </c>
      <c r="K645" t="str">
        <f>_xlfn.XLOOKUP(B645,zones_lookup!A:A,zones_lookup!B:B,"Not found")</f>
        <v>Mrs. Johnson</v>
      </c>
      <c r="L645">
        <f>_xlfn.XLOOKUP(B645,zones_lookup!A:A,zones_lookup!C:C,"Not found")</f>
        <v>241000</v>
      </c>
    </row>
    <row r="646" spans="1:12" x14ac:dyDescent="0.3">
      <c r="A646" s="2">
        <v>45908</v>
      </c>
      <c r="B646" t="s">
        <v>89</v>
      </c>
      <c r="C646" t="s">
        <v>90</v>
      </c>
      <c r="D646">
        <v>6</v>
      </c>
      <c r="E646">
        <v>30.4</v>
      </c>
      <c r="F646">
        <v>247.4</v>
      </c>
      <c r="G646">
        <v>0</v>
      </c>
      <c r="H646">
        <v>9</v>
      </c>
      <c r="I646" t="s">
        <v>1670</v>
      </c>
      <c r="J646">
        <v>5.0666666666666664</v>
      </c>
      <c r="K646" t="str">
        <f>_xlfn.XLOOKUP(B646,zones_lookup!A:A,zones_lookup!B:B,"Not found")</f>
        <v>Mr. Salami</v>
      </c>
      <c r="L646">
        <f>_xlfn.XLOOKUP(B646,zones_lookup!A:A,zones_lookup!C:C,"Not found")</f>
        <v>200000</v>
      </c>
    </row>
    <row r="647" spans="1:12" x14ac:dyDescent="0.3">
      <c r="A647" s="2">
        <v>45746</v>
      </c>
      <c r="B647" t="s">
        <v>93</v>
      </c>
      <c r="C647" t="s">
        <v>57</v>
      </c>
      <c r="D647">
        <v>3</v>
      </c>
      <c r="E647">
        <v>11.3</v>
      </c>
      <c r="F647">
        <v>149.69999999999999</v>
      </c>
      <c r="G647">
        <v>4</v>
      </c>
      <c r="H647">
        <v>3</v>
      </c>
      <c r="I647" t="s">
        <v>1662</v>
      </c>
      <c r="J647">
        <v>3.7666666666666671</v>
      </c>
      <c r="K647" t="str">
        <f>_xlfn.XLOOKUP(B647,zones_lookup!A:A,zones_lookup!B:B,"Not found")</f>
        <v>Mr. Ogunleye</v>
      </c>
      <c r="L647">
        <f>_xlfn.XLOOKUP(B647,zones_lookup!A:A,zones_lookup!C:C,"Not found")</f>
        <v>181000</v>
      </c>
    </row>
    <row r="648" spans="1:12" x14ac:dyDescent="0.3">
      <c r="A648" s="2">
        <v>45776</v>
      </c>
      <c r="B648" t="s">
        <v>93</v>
      </c>
      <c r="C648" t="s">
        <v>57</v>
      </c>
      <c r="D648">
        <v>2</v>
      </c>
      <c r="E648">
        <v>7</v>
      </c>
      <c r="F648">
        <v>59.8</v>
      </c>
      <c r="G648">
        <v>2</v>
      </c>
      <c r="H648">
        <v>4</v>
      </c>
      <c r="I648" t="s">
        <v>1668</v>
      </c>
      <c r="J648">
        <v>3.5</v>
      </c>
      <c r="K648" t="str">
        <f>_xlfn.XLOOKUP(B648,zones_lookup!A:A,zones_lookup!B:B,"Not found")</f>
        <v>Mr. Ogunleye</v>
      </c>
      <c r="L648">
        <f>_xlfn.XLOOKUP(B648,zones_lookup!A:A,zones_lookup!C:C,"Not found")</f>
        <v>181000</v>
      </c>
    </row>
    <row r="649" spans="1:12" x14ac:dyDescent="0.3">
      <c r="A649" s="2">
        <v>45885</v>
      </c>
      <c r="B649" t="s">
        <v>108</v>
      </c>
      <c r="C649" t="s">
        <v>109</v>
      </c>
      <c r="D649">
        <v>4</v>
      </c>
      <c r="E649">
        <v>23.1</v>
      </c>
      <c r="F649">
        <v>174.2</v>
      </c>
      <c r="G649">
        <v>0</v>
      </c>
      <c r="H649">
        <v>8</v>
      </c>
      <c r="I649" t="s">
        <v>1666</v>
      </c>
      <c r="J649">
        <v>5.7750000000000004</v>
      </c>
      <c r="K649" t="str">
        <f>_xlfn.XLOOKUP(B649,zones_lookup!A:A,zones_lookup!B:B,"Not found")</f>
        <v>Mrs. Okafor</v>
      </c>
      <c r="L649">
        <f>_xlfn.XLOOKUP(B649,zones_lookup!A:A,zones_lookup!C:C,"Not found")</f>
        <v>503000</v>
      </c>
    </row>
    <row r="650" spans="1:12" x14ac:dyDescent="0.3">
      <c r="A650" s="2">
        <v>45899</v>
      </c>
      <c r="B650" t="s">
        <v>89</v>
      </c>
      <c r="C650" t="s">
        <v>90</v>
      </c>
      <c r="D650">
        <v>6</v>
      </c>
      <c r="E650">
        <v>35.5</v>
      </c>
      <c r="F650">
        <v>209.5</v>
      </c>
      <c r="G650">
        <v>1</v>
      </c>
      <c r="H650">
        <v>8</v>
      </c>
      <c r="I650" t="s">
        <v>1666</v>
      </c>
      <c r="J650">
        <v>5.916666666666667</v>
      </c>
      <c r="K650" t="str">
        <f>_xlfn.XLOOKUP(B650,zones_lookup!A:A,zones_lookup!B:B,"Not found")</f>
        <v>Mr. Salami</v>
      </c>
      <c r="L650">
        <f>_xlfn.XLOOKUP(B650,zones_lookup!A:A,zones_lookup!C:C,"Not found")</f>
        <v>200000</v>
      </c>
    </row>
    <row r="651" spans="1:12" x14ac:dyDescent="0.3">
      <c r="A651" s="2">
        <v>45932</v>
      </c>
      <c r="B651" t="s">
        <v>49</v>
      </c>
      <c r="C651" t="s">
        <v>50</v>
      </c>
      <c r="D651">
        <v>2</v>
      </c>
      <c r="E651">
        <v>8.3000000000000007</v>
      </c>
      <c r="F651">
        <v>76.7</v>
      </c>
      <c r="G651">
        <v>2</v>
      </c>
      <c r="H651">
        <v>10</v>
      </c>
      <c r="I651" t="s">
        <v>1669</v>
      </c>
      <c r="J651">
        <v>4.1500000000000004</v>
      </c>
      <c r="K651" t="str">
        <f>_xlfn.XLOOKUP(B651,zones_lookup!A:A,zones_lookup!B:B,"Not found")</f>
        <v>Mrs. Johnson</v>
      </c>
      <c r="L651">
        <f>_xlfn.XLOOKUP(B651,zones_lookup!A:A,zones_lookup!C:C,"Not found")</f>
        <v>241000</v>
      </c>
    </row>
    <row r="652" spans="1:12" x14ac:dyDescent="0.3">
      <c r="A652" s="2">
        <v>45820</v>
      </c>
      <c r="B652" t="s">
        <v>27</v>
      </c>
      <c r="C652" t="s">
        <v>34</v>
      </c>
      <c r="D652">
        <v>6</v>
      </c>
      <c r="E652">
        <v>43.6</v>
      </c>
      <c r="F652">
        <v>185.9</v>
      </c>
      <c r="G652">
        <v>1</v>
      </c>
      <c r="H652">
        <v>6</v>
      </c>
      <c r="I652" t="s">
        <v>1667</v>
      </c>
      <c r="J652">
        <v>7.2666666666666666</v>
      </c>
      <c r="K652" t="str">
        <f>_xlfn.XLOOKUP(B652,zones_lookup!A:A,zones_lookup!B:B,"Not found")</f>
        <v>Mr. Bello</v>
      </c>
      <c r="L652">
        <f>_xlfn.XLOOKUP(B652,zones_lookup!A:A,zones_lookup!C:C,"Not found")</f>
        <v>1288000</v>
      </c>
    </row>
    <row r="653" spans="1:12" x14ac:dyDescent="0.3">
      <c r="A653" s="2">
        <v>45931</v>
      </c>
      <c r="B653" t="s">
        <v>41</v>
      </c>
      <c r="C653" t="s">
        <v>73</v>
      </c>
      <c r="D653">
        <v>6</v>
      </c>
      <c r="E653">
        <v>39.799999999999997</v>
      </c>
      <c r="F653">
        <v>228.3</v>
      </c>
      <c r="G653">
        <v>0</v>
      </c>
      <c r="H653">
        <v>10</v>
      </c>
      <c r="I653" t="s">
        <v>1669</v>
      </c>
      <c r="J653">
        <v>6.6333333333333329</v>
      </c>
      <c r="K653" t="str">
        <f>_xlfn.XLOOKUP(B653,zones_lookup!A:A,zones_lookup!B:B,"Not found")</f>
        <v>Mrs. Adisa</v>
      </c>
      <c r="L653">
        <f>_xlfn.XLOOKUP(B653,zones_lookup!A:A,zones_lookup!C:C,"Not found")</f>
        <v>633000</v>
      </c>
    </row>
    <row r="654" spans="1:12" x14ac:dyDescent="0.3">
      <c r="A654" s="2">
        <v>45925</v>
      </c>
      <c r="B654" t="s">
        <v>49</v>
      </c>
      <c r="C654" t="s">
        <v>52</v>
      </c>
      <c r="D654">
        <v>5</v>
      </c>
      <c r="E654">
        <v>19.600000000000001</v>
      </c>
      <c r="F654">
        <v>187.1</v>
      </c>
      <c r="G654">
        <v>4</v>
      </c>
      <c r="H654">
        <v>9</v>
      </c>
      <c r="I654" t="s">
        <v>1670</v>
      </c>
      <c r="J654">
        <v>3.9200000000000004</v>
      </c>
      <c r="K654" t="str">
        <f>_xlfn.XLOOKUP(B654,zones_lookup!A:A,zones_lookup!B:B,"Not found")</f>
        <v>Mrs. Johnson</v>
      </c>
      <c r="L654">
        <f>_xlfn.XLOOKUP(B654,zones_lookup!A:A,zones_lookup!C:C,"Not found")</f>
        <v>241000</v>
      </c>
    </row>
    <row r="655" spans="1:12" x14ac:dyDescent="0.3">
      <c r="A655" s="2">
        <v>45937</v>
      </c>
      <c r="B655" t="s">
        <v>108</v>
      </c>
      <c r="C655" t="s">
        <v>169</v>
      </c>
      <c r="D655">
        <v>6</v>
      </c>
      <c r="E655">
        <v>34.700000000000003</v>
      </c>
      <c r="F655">
        <v>183.4</v>
      </c>
      <c r="G655">
        <v>0</v>
      </c>
      <c r="H655">
        <v>10</v>
      </c>
      <c r="I655" t="s">
        <v>1669</v>
      </c>
      <c r="J655">
        <v>5.7833333333333341</v>
      </c>
      <c r="K655" t="str">
        <f>_xlfn.XLOOKUP(B655,zones_lookup!A:A,zones_lookup!B:B,"Not found")</f>
        <v>Mrs. Okafor</v>
      </c>
      <c r="L655">
        <f>_xlfn.XLOOKUP(B655,zones_lookup!A:A,zones_lookup!C:C,"Not found")</f>
        <v>503000</v>
      </c>
    </row>
    <row r="656" spans="1:12" x14ac:dyDescent="0.3">
      <c r="A656" s="2">
        <v>45715</v>
      </c>
      <c r="B656" t="s">
        <v>93</v>
      </c>
      <c r="C656" t="s">
        <v>57</v>
      </c>
      <c r="D656">
        <v>5</v>
      </c>
      <c r="E656">
        <v>17.5</v>
      </c>
      <c r="F656">
        <v>155.4</v>
      </c>
      <c r="G656">
        <v>6</v>
      </c>
      <c r="H656">
        <v>2</v>
      </c>
      <c r="I656" t="s">
        <v>1665</v>
      </c>
      <c r="J656">
        <v>3.5</v>
      </c>
      <c r="K656" t="str">
        <f>_xlfn.XLOOKUP(B656,zones_lookup!A:A,zones_lookup!B:B,"Not found")</f>
        <v>Mr. Ogunleye</v>
      </c>
      <c r="L656">
        <f>_xlfn.XLOOKUP(B656,zones_lookup!A:A,zones_lookup!C:C,"Not found")</f>
        <v>181000</v>
      </c>
    </row>
    <row r="657" spans="1:12" x14ac:dyDescent="0.3">
      <c r="A657" s="2">
        <v>45697</v>
      </c>
      <c r="B657" t="s">
        <v>41</v>
      </c>
      <c r="C657" t="s">
        <v>42</v>
      </c>
      <c r="D657">
        <v>3</v>
      </c>
      <c r="E657">
        <v>17.899999999999999</v>
      </c>
      <c r="F657">
        <v>81.8</v>
      </c>
      <c r="G657">
        <v>2</v>
      </c>
      <c r="H657">
        <v>2</v>
      </c>
      <c r="I657" t="s">
        <v>1665</v>
      </c>
      <c r="J657">
        <v>5.9666666666666659</v>
      </c>
      <c r="K657" t="str">
        <f>_xlfn.XLOOKUP(B657,zones_lookup!A:A,zones_lookup!B:B,"Not found")</f>
        <v>Mrs. Adisa</v>
      </c>
      <c r="L657">
        <f>_xlfn.XLOOKUP(B657,zones_lookup!A:A,zones_lookup!C:C,"Not found")</f>
        <v>633000</v>
      </c>
    </row>
    <row r="658" spans="1:12" x14ac:dyDescent="0.3">
      <c r="A658" s="2">
        <v>45808</v>
      </c>
      <c r="B658" t="s">
        <v>41</v>
      </c>
      <c r="C658" t="s">
        <v>73</v>
      </c>
      <c r="D658">
        <v>2</v>
      </c>
      <c r="E658">
        <v>12.8</v>
      </c>
      <c r="G658">
        <v>2</v>
      </c>
      <c r="H658">
        <v>5</v>
      </c>
      <c r="I658" t="s">
        <v>1663</v>
      </c>
      <c r="J658">
        <v>6.4</v>
      </c>
      <c r="K658" t="str">
        <f>_xlfn.XLOOKUP(B658,zones_lookup!A:A,zones_lookup!B:B,"Not found")</f>
        <v>Mrs. Adisa</v>
      </c>
      <c r="L658">
        <f>_xlfn.XLOOKUP(B658,zones_lookup!A:A,zones_lookup!C:C,"Not found")</f>
        <v>633000</v>
      </c>
    </row>
    <row r="659" spans="1:12" x14ac:dyDescent="0.3">
      <c r="A659" s="2">
        <v>45676</v>
      </c>
      <c r="B659" t="s">
        <v>108</v>
      </c>
      <c r="C659" t="s">
        <v>208</v>
      </c>
      <c r="D659">
        <v>5</v>
      </c>
      <c r="E659">
        <v>30.6</v>
      </c>
      <c r="F659">
        <v>189.3</v>
      </c>
      <c r="G659">
        <v>0</v>
      </c>
      <c r="H659">
        <v>1</v>
      </c>
      <c r="I659" t="s">
        <v>1660</v>
      </c>
      <c r="J659">
        <v>6.12</v>
      </c>
      <c r="K659" t="str">
        <f>_xlfn.XLOOKUP(B659,zones_lookup!A:A,zones_lookup!B:B,"Not found")</f>
        <v>Mrs. Okafor</v>
      </c>
      <c r="L659">
        <f>_xlfn.XLOOKUP(B659,zones_lookup!A:A,zones_lookup!C:C,"Not found")</f>
        <v>503000</v>
      </c>
    </row>
    <row r="660" spans="1:12" x14ac:dyDescent="0.3">
      <c r="A660" s="2">
        <v>45830</v>
      </c>
      <c r="B660" t="s">
        <v>49</v>
      </c>
      <c r="C660" t="s">
        <v>50</v>
      </c>
      <c r="D660">
        <v>4</v>
      </c>
      <c r="E660">
        <v>17.3</v>
      </c>
      <c r="F660">
        <v>157.9</v>
      </c>
      <c r="G660">
        <v>4</v>
      </c>
      <c r="H660">
        <v>6</v>
      </c>
      <c r="I660" t="s">
        <v>1667</v>
      </c>
      <c r="J660">
        <v>4.3250000000000002</v>
      </c>
      <c r="K660" t="str">
        <f>_xlfn.XLOOKUP(B660,zones_lookup!A:A,zones_lookup!B:B,"Not found")</f>
        <v>Mrs. Johnson</v>
      </c>
      <c r="L660">
        <f>_xlfn.XLOOKUP(B660,zones_lookup!A:A,zones_lookup!C:C,"Not found")</f>
        <v>241000</v>
      </c>
    </row>
    <row r="661" spans="1:12" x14ac:dyDescent="0.3">
      <c r="A661" s="2">
        <v>45951</v>
      </c>
      <c r="B661" t="s">
        <v>60</v>
      </c>
      <c r="C661" t="s">
        <v>64</v>
      </c>
      <c r="D661">
        <v>2</v>
      </c>
      <c r="E661">
        <v>9.1</v>
      </c>
      <c r="F661">
        <v>62.1</v>
      </c>
      <c r="G661">
        <v>0</v>
      </c>
      <c r="H661">
        <v>10</v>
      </c>
      <c r="I661" t="s">
        <v>1669</v>
      </c>
      <c r="J661">
        <v>4.55</v>
      </c>
      <c r="K661" t="str">
        <f>_xlfn.XLOOKUP(B661,zones_lookup!A:A,zones_lookup!B:B,"Not found")</f>
        <v>Mrs. Eze</v>
      </c>
      <c r="L661">
        <f>_xlfn.XLOOKUP(B661,zones_lookup!A:A,zones_lookup!C:C,"Not found")</f>
        <v>535000</v>
      </c>
    </row>
    <row r="662" spans="1:12" x14ac:dyDescent="0.3">
      <c r="A662" s="2">
        <v>45811</v>
      </c>
      <c r="B662" t="s">
        <v>27</v>
      </c>
      <c r="C662" t="s">
        <v>38</v>
      </c>
      <c r="D662">
        <v>3</v>
      </c>
      <c r="E662">
        <v>21.4</v>
      </c>
      <c r="G662">
        <v>1</v>
      </c>
      <c r="H662">
        <v>6</v>
      </c>
      <c r="I662" t="s">
        <v>1667</v>
      </c>
      <c r="J662">
        <v>7.1333333333333329</v>
      </c>
      <c r="K662" t="str">
        <f>_xlfn.XLOOKUP(B662,zones_lookup!A:A,zones_lookup!B:B,"Not found")</f>
        <v>Mr. Bello</v>
      </c>
      <c r="L662">
        <f>_xlfn.XLOOKUP(B662,zones_lookup!A:A,zones_lookup!C:C,"Not found")</f>
        <v>1288000</v>
      </c>
    </row>
    <row r="663" spans="1:12" x14ac:dyDescent="0.3">
      <c r="A663" s="2">
        <v>45950</v>
      </c>
      <c r="B663" t="s">
        <v>89</v>
      </c>
      <c r="C663" t="s">
        <v>90</v>
      </c>
      <c r="D663">
        <v>6</v>
      </c>
      <c r="E663">
        <v>27.6</v>
      </c>
      <c r="F663">
        <v>265.8</v>
      </c>
      <c r="G663">
        <v>1</v>
      </c>
      <c r="H663">
        <v>10</v>
      </c>
      <c r="I663" t="s">
        <v>1669</v>
      </c>
      <c r="J663">
        <v>4.6000000000000005</v>
      </c>
      <c r="K663" t="str">
        <f>_xlfn.XLOOKUP(B663,zones_lookup!A:A,zones_lookup!B:B,"Not found")</f>
        <v>Mr. Salami</v>
      </c>
      <c r="L663">
        <f>_xlfn.XLOOKUP(B663,zones_lookup!A:A,zones_lookup!C:C,"Not found")</f>
        <v>200000</v>
      </c>
    </row>
    <row r="664" spans="1:12" x14ac:dyDescent="0.3">
      <c r="A664" s="2">
        <v>45658</v>
      </c>
      <c r="B664" t="s">
        <v>27</v>
      </c>
      <c r="C664" t="s">
        <v>34</v>
      </c>
      <c r="D664">
        <v>2</v>
      </c>
      <c r="E664">
        <v>12.2</v>
      </c>
      <c r="F664">
        <v>86.5</v>
      </c>
      <c r="G664">
        <v>0</v>
      </c>
      <c r="H664">
        <v>1</v>
      </c>
      <c r="I664" t="s">
        <v>1660</v>
      </c>
      <c r="J664">
        <v>6.1</v>
      </c>
      <c r="K664" t="str">
        <f>_xlfn.XLOOKUP(B664,zones_lookup!A:A,zones_lookup!B:B,"Not found")</f>
        <v>Mr. Bello</v>
      </c>
      <c r="L664">
        <f>_xlfn.XLOOKUP(B664,zones_lookup!A:A,zones_lookup!C:C,"Not found")</f>
        <v>1288000</v>
      </c>
    </row>
    <row r="665" spans="1:12" x14ac:dyDescent="0.3">
      <c r="A665" s="2">
        <v>45977</v>
      </c>
      <c r="B665" t="s">
        <v>41</v>
      </c>
      <c r="C665" t="s">
        <v>46</v>
      </c>
      <c r="D665">
        <v>2</v>
      </c>
      <c r="E665">
        <v>15.9</v>
      </c>
      <c r="F665">
        <v>61.1</v>
      </c>
      <c r="G665">
        <v>1</v>
      </c>
      <c r="H665">
        <v>11</v>
      </c>
      <c r="I665" t="s">
        <v>1664</v>
      </c>
      <c r="J665">
        <v>7.95</v>
      </c>
      <c r="K665" t="str">
        <f>_xlfn.XLOOKUP(B665,zones_lookup!A:A,zones_lookup!B:B,"Not found")</f>
        <v>Mrs. Adisa</v>
      </c>
      <c r="L665">
        <f>_xlfn.XLOOKUP(B665,zones_lookup!A:A,zones_lookup!C:C,"Not found")</f>
        <v>633000</v>
      </c>
    </row>
    <row r="666" spans="1:12" x14ac:dyDescent="0.3">
      <c r="A666" s="2">
        <v>45668</v>
      </c>
      <c r="B666" t="s">
        <v>108</v>
      </c>
      <c r="C666" t="s">
        <v>208</v>
      </c>
      <c r="D666">
        <v>4</v>
      </c>
      <c r="E666">
        <v>20</v>
      </c>
      <c r="F666">
        <v>132.80000000000001</v>
      </c>
      <c r="G666">
        <v>0</v>
      </c>
      <c r="H666">
        <v>1</v>
      </c>
      <c r="I666" t="s">
        <v>1660</v>
      </c>
      <c r="J666">
        <v>5</v>
      </c>
      <c r="K666" t="str">
        <f>_xlfn.XLOOKUP(B666,zones_lookup!A:A,zones_lookup!B:B,"Not found")</f>
        <v>Mrs. Okafor</v>
      </c>
      <c r="L666">
        <f>_xlfn.XLOOKUP(B666,zones_lookup!A:A,zones_lookup!C:C,"Not found")</f>
        <v>503000</v>
      </c>
    </row>
    <row r="667" spans="1:12" x14ac:dyDescent="0.3">
      <c r="A667" s="2">
        <v>45968</v>
      </c>
      <c r="B667" t="s">
        <v>108</v>
      </c>
      <c r="C667" t="s">
        <v>208</v>
      </c>
      <c r="D667">
        <v>4</v>
      </c>
      <c r="E667">
        <v>29.9</v>
      </c>
      <c r="F667">
        <v>121.1</v>
      </c>
      <c r="G667">
        <v>1</v>
      </c>
      <c r="H667">
        <v>11</v>
      </c>
      <c r="I667" t="s">
        <v>1664</v>
      </c>
      <c r="J667">
        <v>7.4749999999999996</v>
      </c>
      <c r="K667" t="str">
        <f>_xlfn.XLOOKUP(B667,zones_lookup!A:A,zones_lookup!B:B,"Not found")</f>
        <v>Mrs. Okafor</v>
      </c>
      <c r="L667">
        <f>_xlfn.XLOOKUP(B667,zones_lookup!A:A,zones_lookup!C:C,"Not found")</f>
        <v>503000</v>
      </c>
    </row>
    <row r="668" spans="1:12" x14ac:dyDescent="0.3">
      <c r="A668" s="2">
        <v>45914</v>
      </c>
      <c r="B668" t="s">
        <v>27</v>
      </c>
      <c r="C668" t="s">
        <v>28</v>
      </c>
      <c r="D668">
        <v>5</v>
      </c>
      <c r="E668">
        <v>33.299999999999997</v>
      </c>
      <c r="F668">
        <v>183.3</v>
      </c>
      <c r="G668">
        <v>1</v>
      </c>
      <c r="H668">
        <v>9</v>
      </c>
      <c r="I668" t="s">
        <v>1670</v>
      </c>
      <c r="J668">
        <v>6.6599999999999993</v>
      </c>
      <c r="K668" t="str">
        <f>_xlfn.XLOOKUP(B668,zones_lookup!A:A,zones_lookup!B:B,"Not found")</f>
        <v>Mr. Bello</v>
      </c>
      <c r="L668">
        <f>_xlfn.XLOOKUP(B668,zones_lookup!A:A,zones_lookup!C:C,"Not found")</f>
        <v>1288000</v>
      </c>
    </row>
    <row r="669" spans="1:12" x14ac:dyDescent="0.3">
      <c r="A669" s="2">
        <v>45785</v>
      </c>
      <c r="B669" t="s">
        <v>60</v>
      </c>
      <c r="C669" t="s">
        <v>61</v>
      </c>
      <c r="D669">
        <v>6</v>
      </c>
      <c r="E669">
        <v>24.9</v>
      </c>
      <c r="F669">
        <v>215.1</v>
      </c>
      <c r="G669">
        <v>2</v>
      </c>
      <c r="H669">
        <v>5</v>
      </c>
      <c r="I669" t="s">
        <v>1663</v>
      </c>
      <c r="J669">
        <v>4.1499999999999995</v>
      </c>
      <c r="K669" t="str">
        <f>_xlfn.XLOOKUP(B669,zones_lookup!A:A,zones_lookup!B:B,"Not found")</f>
        <v>Mrs. Eze</v>
      </c>
      <c r="L669">
        <f>_xlfn.XLOOKUP(B669,zones_lookup!A:A,zones_lookup!C:C,"Not found")</f>
        <v>535000</v>
      </c>
    </row>
    <row r="670" spans="1:12" x14ac:dyDescent="0.3">
      <c r="A670" s="2">
        <v>45827</v>
      </c>
      <c r="B670" t="s">
        <v>60</v>
      </c>
      <c r="C670" t="s">
        <v>64</v>
      </c>
      <c r="D670">
        <v>3</v>
      </c>
      <c r="E670">
        <v>12.3</v>
      </c>
      <c r="G670">
        <v>2</v>
      </c>
      <c r="H670">
        <v>6</v>
      </c>
      <c r="I670" t="s">
        <v>1667</v>
      </c>
      <c r="J670">
        <v>4.1000000000000005</v>
      </c>
      <c r="K670" t="str">
        <f>_xlfn.XLOOKUP(B670,zones_lookup!A:A,zones_lookup!B:B,"Not found")</f>
        <v>Mrs. Eze</v>
      </c>
      <c r="L670">
        <f>_xlfn.XLOOKUP(B670,zones_lookup!A:A,zones_lookup!C:C,"Not found")</f>
        <v>535000</v>
      </c>
    </row>
    <row r="671" spans="1:12" x14ac:dyDescent="0.3">
      <c r="A671" s="2">
        <v>45786</v>
      </c>
      <c r="B671" t="s">
        <v>93</v>
      </c>
      <c r="C671" t="s">
        <v>57</v>
      </c>
      <c r="D671">
        <v>2</v>
      </c>
      <c r="E671">
        <v>7.9</v>
      </c>
      <c r="F671">
        <v>73.900000000000006</v>
      </c>
      <c r="G671">
        <v>2</v>
      </c>
      <c r="H671">
        <v>5</v>
      </c>
      <c r="I671" t="s">
        <v>1663</v>
      </c>
      <c r="J671">
        <v>3.95</v>
      </c>
      <c r="K671" t="str">
        <f>_xlfn.XLOOKUP(B671,zones_lookup!A:A,zones_lookup!B:B,"Not found")</f>
        <v>Mr. Ogunleye</v>
      </c>
      <c r="L671">
        <f>_xlfn.XLOOKUP(B671,zones_lookup!A:A,zones_lookup!C:C,"Not found")</f>
        <v>181000</v>
      </c>
    </row>
    <row r="672" spans="1:12" x14ac:dyDescent="0.3">
      <c r="A672" s="2">
        <v>45877</v>
      </c>
      <c r="B672" t="s">
        <v>108</v>
      </c>
      <c r="C672" t="s">
        <v>109</v>
      </c>
      <c r="D672">
        <v>5</v>
      </c>
      <c r="E672">
        <v>31.8</v>
      </c>
      <c r="F672">
        <v>189</v>
      </c>
      <c r="G672">
        <v>1</v>
      </c>
      <c r="H672">
        <v>8</v>
      </c>
      <c r="I672" t="s">
        <v>1666</v>
      </c>
      <c r="J672">
        <v>6.36</v>
      </c>
      <c r="K672" t="str">
        <f>_xlfn.XLOOKUP(B672,zones_lookup!A:A,zones_lookup!B:B,"Not found")</f>
        <v>Mrs. Okafor</v>
      </c>
      <c r="L672">
        <f>_xlfn.XLOOKUP(B672,zones_lookup!A:A,zones_lookup!C:C,"Not found")</f>
        <v>503000</v>
      </c>
    </row>
    <row r="673" spans="1:12" x14ac:dyDescent="0.3">
      <c r="A673" s="2">
        <v>45756</v>
      </c>
      <c r="B673" t="s">
        <v>76</v>
      </c>
      <c r="C673" t="s">
        <v>80</v>
      </c>
      <c r="D673">
        <v>2</v>
      </c>
      <c r="E673">
        <v>14.3</v>
      </c>
      <c r="F673">
        <v>90.4</v>
      </c>
      <c r="G673">
        <v>4</v>
      </c>
      <c r="H673">
        <v>4</v>
      </c>
      <c r="I673" t="s">
        <v>1668</v>
      </c>
      <c r="J673">
        <v>7.15</v>
      </c>
      <c r="K673" t="str">
        <f>_xlfn.XLOOKUP(B673,zones_lookup!A:A,zones_lookup!B:B,"Not found")</f>
        <v>Mr. Adeyemi</v>
      </c>
      <c r="L673">
        <f>_xlfn.XLOOKUP(B673,zones_lookup!A:A,zones_lookup!C:C,"Not found")</f>
        <v>313000</v>
      </c>
    </row>
    <row r="674" spans="1:12" x14ac:dyDescent="0.3">
      <c r="A674" s="2">
        <v>45754</v>
      </c>
      <c r="B674" t="s">
        <v>60</v>
      </c>
      <c r="C674" t="s">
        <v>64</v>
      </c>
      <c r="D674">
        <v>2</v>
      </c>
      <c r="E674">
        <v>7.2</v>
      </c>
      <c r="F674">
        <v>94.9</v>
      </c>
      <c r="G674">
        <v>3</v>
      </c>
      <c r="H674">
        <v>4</v>
      </c>
      <c r="I674" t="s">
        <v>1668</v>
      </c>
      <c r="J674">
        <v>3.6</v>
      </c>
      <c r="K674" t="str">
        <f>_xlfn.XLOOKUP(B674,zones_lookup!A:A,zones_lookup!B:B,"Not found")</f>
        <v>Mrs. Eze</v>
      </c>
      <c r="L674">
        <f>_xlfn.XLOOKUP(B674,zones_lookup!A:A,zones_lookup!C:C,"Not found")</f>
        <v>535000</v>
      </c>
    </row>
    <row r="675" spans="1:12" x14ac:dyDescent="0.3">
      <c r="A675" s="2">
        <v>46009</v>
      </c>
      <c r="B675" t="s">
        <v>108</v>
      </c>
      <c r="C675" t="s">
        <v>109</v>
      </c>
      <c r="D675">
        <v>2</v>
      </c>
      <c r="E675">
        <v>17.899999999999999</v>
      </c>
      <c r="F675">
        <v>85.6</v>
      </c>
      <c r="G675">
        <v>4</v>
      </c>
      <c r="H675">
        <v>12</v>
      </c>
      <c r="I675" t="s">
        <v>1671</v>
      </c>
      <c r="J675">
        <v>8.9499999999999993</v>
      </c>
      <c r="K675" t="str">
        <f>_xlfn.XLOOKUP(B675,zones_lookup!A:A,zones_lookup!B:B,"Not found")</f>
        <v>Mrs. Okafor</v>
      </c>
      <c r="L675">
        <f>_xlfn.XLOOKUP(B675,zones_lookup!A:A,zones_lookup!C:C,"Not found")</f>
        <v>503000</v>
      </c>
    </row>
    <row r="676" spans="1:12" x14ac:dyDescent="0.3">
      <c r="A676" s="2">
        <v>45981</v>
      </c>
      <c r="B676" t="s">
        <v>27</v>
      </c>
      <c r="C676" t="s">
        <v>31</v>
      </c>
      <c r="D676">
        <v>5</v>
      </c>
      <c r="E676">
        <v>39</v>
      </c>
      <c r="F676">
        <v>184.1</v>
      </c>
      <c r="G676">
        <v>1</v>
      </c>
      <c r="H676">
        <v>11</v>
      </c>
      <c r="I676" t="s">
        <v>1664</v>
      </c>
      <c r="J676">
        <v>7.8</v>
      </c>
      <c r="K676" t="str">
        <f>_xlfn.XLOOKUP(B676,zones_lookup!A:A,zones_lookup!B:B,"Not found")</f>
        <v>Mr. Bello</v>
      </c>
      <c r="L676">
        <f>_xlfn.XLOOKUP(B676,zones_lookup!A:A,zones_lookup!C:C,"Not found")</f>
        <v>1288000</v>
      </c>
    </row>
    <row r="677" spans="1:12" x14ac:dyDescent="0.3">
      <c r="A677" s="2">
        <v>45937</v>
      </c>
      <c r="B677" t="s">
        <v>89</v>
      </c>
      <c r="C677" t="s">
        <v>90</v>
      </c>
      <c r="D677">
        <v>3</v>
      </c>
      <c r="E677">
        <v>15</v>
      </c>
      <c r="F677">
        <v>108.1</v>
      </c>
      <c r="G677">
        <v>1</v>
      </c>
      <c r="H677">
        <v>10</v>
      </c>
      <c r="I677" t="s">
        <v>1669</v>
      </c>
      <c r="J677">
        <v>5</v>
      </c>
      <c r="K677" t="str">
        <f>_xlfn.XLOOKUP(B677,zones_lookup!A:A,zones_lookup!B:B,"Not found")</f>
        <v>Mr. Salami</v>
      </c>
      <c r="L677">
        <f>_xlfn.XLOOKUP(B677,zones_lookup!A:A,zones_lookup!C:C,"Not found")</f>
        <v>200000</v>
      </c>
    </row>
    <row r="678" spans="1:12" x14ac:dyDescent="0.3">
      <c r="A678" s="2">
        <v>45945</v>
      </c>
      <c r="B678" t="s">
        <v>108</v>
      </c>
      <c r="C678" t="s">
        <v>169</v>
      </c>
      <c r="D678">
        <v>3</v>
      </c>
      <c r="E678">
        <v>16.3</v>
      </c>
      <c r="F678">
        <v>114.1</v>
      </c>
      <c r="G678">
        <v>1</v>
      </c>
      <c r="H678">
        <v>10</v>
      </c>
      <c r="I678" t="s">
        <v>1669</v>
      </c>
      <c r="J678">
        <v>5.4333333333333336</v>
      </c>
      <c r="K678" t="str">
        <f>_xlfn.XLOOKUP(B678,zones_lookup!A:A,zones_lookup!B:B,"Not found")</f>
        <v>Mrs. Okafor</v>
      </c>
      <c r="L678">
        <f>_xlfn.XLOOKUP(B678,zones_lookup!A:A,zones_lookup!C:C,"Not found")</f>
        <v>503000</v>
      </c>
    </row>
    <row r="679" spans="1:12" x14ac:dyDescent="0.3">
      <c r="A679" s="2">
        <v>45674</v>
      </c>
      <c r="B679" t="s">
        <v>93</v>
      </c>
      <c r="C679" t="s">
        <v>57</v>
      </c>
      <c r="D679">
        <v>4</v>
      </c>
      <c r="F679">
        <v>160.80000000000001</v>
      </c>
      <c r="G679">
        <v>0</v>
      </c>
      <c r="H679">
        <v>1</v>
      </c>
      <c r="I679" t="s">
        <v>1660</v>
      </c>
      <c r="K679" t="str">
        <f>_xlfn.XLOOKUP(B679,zones_lookup!A:A,zones_lookup!B:B,"Not found")</f>
        <v>Mr. Ogunleye</v>
      </c>
      <c r="L679">
        <f>_xlfn.XLOOKUP(B679,zones_lookup!A:A,zones_lookup!C:C,"Not found")</f>
        <v>181000</v>
      </c>
    </row>
    <row r="680" spans="1:12" x14ac:dyDescent="0.3">
      <c r="A680" s="2">
        <v>46021</v>
      </c>
      <c r="B680" t="s">
        <v>49</v>
      </c>
      <c r="C680" t="s">
        <v>52</v>
      </c>
      <c r="D680">
        <v>4</v>
      </c>
      <c r="E680">
        <v>19.2</v>
      </c>
      <c r="F680">
        <v>142.4</v>
      </c>
      <c r="G680">
        <v>1</v>
      </c>
      <c r="H680">
        <v>12</v>
      </c>
      <c r="I680" t="s">
        <v>1671</v>
      </c>
      <c r="J680">
        <v>4.8</v>
      </c>
      <c r="K680" t="str">
        <f>_xlfn.XLOOKUP(B680,zones_lookup!A:A,zones_lookup!B:B,"Not found")</f>
        <v>Mrs. Johnson</v>
      </c>
      <c r="L680">
        <f>_xlfn.XLOOKUP(B680,zones_lookup!A:A,zones_lookup!C:C,"Not found")</f>
        <v>241000</v>
      </c>
    </row>
    <row r="681" spans="1:12" x14ac:dyDescent="0.3">
      <c r="A681" s="2">
        <v>45659</v>
      </c>
      <c r="B681" t="s">
        <v>41</v>
      </c>
      <c r="C681" t="s">
        <v>73</v>
      </c>
      <c r="D681">
        <v>2</v>
      </c>
      <c r="E681">
        <v>13.7</v>
      </c>
      <c r="F681">
        <v>69.8</v>
      </c>
      <c r="G681">
        <v>1</v>
      </c>
      <c r="H681">
        <v>1</v>
      </c>
      <c r="I681" t="s">
        <v>1660</v>
      </c>
      <c r="J681">
        <v>6.85</v>
      </c>
      <c r="K681" t="str">
        <f>_xlfn.XLOOKUP(B681,zones_lookup!A:A,zones_lookup!B:B,"Not found")</f>
        <v>Mrs. Adisa</v>
      </c>
      <c r="L681">
        <f>_xlfn.XLOOKUP(B681,zones_lookup!A:A,zones_lookup!C:C,"Not found")</f>
        <v>633000</v>
      </c>
    </row>
    <row r="682" spans="1:12" x14ac:dyDescent="0.3">
      <c r="A682" s="2">
        <v>45800</v>
      </c>
      <c r="B682" t="s">
        <v>49</v>
      </c>
      <c r="C682" t="s">
        <v>50</v>
      </c>
      <c r="D682">
        <v>5</v>
      </c>
      <c r="E682">
        <v>21.2</v>
      </c>
      <c r="F682">
        <v>189.6</v>
      </c>
      <c r="G682">
        <v>2</v>
      </c>
      <c r="H682">
        <v>5</v>
      </c>
      <c r="I682" t="s">
        <v>1663</v>
      </c>
      <c r="J682">
        <v>4.24</v>
      </c>
      <c r="K682" t="str">
        <f>_xlfn.XLOOKUP(B682,zones_lookup!A:A,zones_lookup!B:B,"Not found")</f>
        <v>Mrs. Johnson</v>
      </c>
      <c r="L682">
        <f>_xlfn.XLOOKUP(B682,zones_lookup!A:A,zones_lookup!C:C,"Not found")</f>
        <v>241000</v>
      </c>
    </row>
    <row r="683" spans="1:12" x14ac:dyDescent="0.3">
      <c r="A683" s="2">
        <v>45899</v>
      </c>
      <c r="B683" t="s">
        <v>41</v>
      </c>
      <c r="C683" t="s">
        <v>42</v>
      </c>
      <c r="D683">
        <v>4</v>
      </c>
      <c r="E683">
        <v>28.5</v>
      </c>
      <c r="F683">
        <v>140.80000000000001</v>
      </c>
      <c r="G683">
        <v>1</v>
      </c>
      <c r="H683">
        <v>8</v>
      </c>
      <c r="I683" t="s">
        <v>1666</v>
      </c>
      <c r="J683">
        <v>7.125</v>
      </c>
      <c r="K683" t="str">
        <f>_xlfn.XLOOKUP(B683,zones_lookup!A:A,zones_lookup!B:B,"Not found")</f>
        <v>Mrs. Adisa</v>
      </c>
      <c r="L683">
        <f>_xlfn.XLOOKUP(B683,zones_lookup!A:A,zones_lookup!C:C,"Not found")</f>
        <v>633000</v>
      </c>
    </row>
    <row r="684" spans="1:12" x14ac:dyDescent="0.3">
      <c r="A684" s="2">
        <v>46011</v>
      </c>
      <c r="B684" t="s">
        <v>93</v>
      </c>
      <c r="C684" t="s">
        <v>101</v>
      </c>
      <c r="D684">
        <v>3</v>
      </c>
      <c r="E684">
        <v>15.3</v>
      </c>
      <c r="F684">
        <v>100</v>
      </c>
      <c r="G684">
        <v>1</v>
      </c>
      <c r="H684">
        <v>12</v>
      </c>
      <c r="I684" t="s">
        <v>1671</v>
      </c>
      <c r="J684">
        <v>5.1000000000000005</v>
      </c>
      <c r="K684" t="str">
        <f>_xlfn.XLOOKUP(B684,zones_lookup!A:A,zones_lookup!B:B,"Not found")</f>
        <v>Mr. Ogunleye</v>
      </c>
      <c r="L684">
        <f>_xlfn.XLOOKUP(B684,zones_lookup!A:A,zones_lookup!C:C,"Not found")</f>
        <v>181000</v>
      </c>
    </row>
    <row r="685" spans="1:12" x14ac:dyDescent="0.3">
      <c r="A685" s="2">
        <v>45874</v>
      </c>
      <c r="B685" t="s">
        <v>41</v>
      </c>
      <c r="C685" t="s">
        <v>46</v>
      </c>
      <c r="D685">
        <v>2</v>
      </c>
      <c r="E685">
        <v>11.8</v>
      </c>
      <c r="F685">
        <v>84.1</v>
      </c>
      <c r="G685">
        <v>0</v>
      </c>
      <c r="H685">
        <v>8</v>
      </c>
      <c r="I685" t="s">
        <v>1666</v>
      </c>
      <c r="J685">
        <v>5.9</v>
      </c>
      <c r="K685" t="str">
        <f>_xlfn.XLOOKUP(B685,zones_lookup!A:A,zones_lookup!B:B,"Not found")</f>
        <v>Mrs. Adisa</v>
      </c>
      <c r="L685">
        <f>_xlfn.XLOOKUP(B685,zones_lookup!A:A,zones_lookup!C:C,"Not found")</f>
        <v>633000</v>
      </c>
    </row>
    <row r="686" spans="1:12" x14ac:dyDescent="0.3">
      <c r="A686" s="2">
        <v>45925</v>
      </c>
      <c r="B686" t="s">
        <v>93</v>
      </c>
      <c r="C686" t="s">
        <v>101</v>
      </c>
      <c r="D686">
        <v>6</v>
      </c>
      <c r="E686">
        <v>20.5</v>
      </c>
      <c r="F686">
        <v>178.4</v>
      </c>
      <c r="G686">
        <v>0</v>
      </c>
      <c r="H686">
        <v>9</v>
      </c>
      <c r="I686" t="s">
        <v>1670</v>
      </c>
      <c r="J686">
        <v>3.4166666666666665</v>
      </c>
      <c r="K686" t="str">
        <f>_xlfn.XLOOKUP(B686,zones_lookup!A:A,zones_lookup!B:B,"Not found")</f>
        <v>Mr. Ogunleye</v>
      </c>
      <c r="L686">
        <f>_xlfn.XLOOKUP(B686,zones_lookup!A:A,zones_lookup!C:C,"Not found")</f>
        <v>181000</v>
      </c>
    </row>
    <row r="687" spans="1:12" x14ac:dyDescent="0.3">
      <c r="A687" s="2">
        <v>45667</v>
      </c>
      <c r="B687" t="s">
        <v>27</v>
      </c>
      <c r="C687" t="s">
        <v>28</v>
      </c>
      <c r="D687">
        <v>5</v>
      </c>
      <c r="E687">
        <v>38.4</v>
      </c>
      <c r="F687">
        <v>194.7</v>
      </c>
      <c r="G687">
        <v>1</v>
      </c>
      <c r="H687">
        <v>1</v>
      </c>
      <c r="I687" t="s">
        <v>1660</v>
      </c>
      <c r="J687">
        <v>7.68</v>
      </c>
      <c r="K687" t="str">
        <f>_xlfn.XLOOKUP(B687,zones_lookup!A:A,zones_lookup!B:B,"Not found")</f>
        <v>Mr. Bello</v>
      </c>
      <c r="L687">
        <f>_xlfn.XLOOKUP(B687,zones_lookup!A:A,zones_lookup!C:C,"Not found")</f>
        <v>1288000</v>
      </c>
    </row>
    <row r="688" spans="1:12" x14ac:dyDescent="0.3">
      <c r="A688" s="2">
        <v>45750</v>
      </c>
      <c r="B688" t="s">
        <v>27</v>
      </c>
      <c r="C688" t="s">
        <v>38</v>
      </c>
      <c r="D688">
        <v>3</v>
      </c>
      <c r="E688">
        <v>25.3</v>
      </c>
      <c r="F688">
        <v>103.8</v>
      </c>
      <c r="G688">
        <v>1</v>
      </c>
      <c r="H688">
        <v>4</v>
      </c>
      <c r="I688" t="s">
        <v>1668</v>
      </c>
      <c r="J688">
        <v>8.4333333333333336</v>
      </c>
      <c r="K688" t="str">
        <f>_xlfn.XLOOKUP(B688,zones_lookup!A:A,zones_lookup!B:B,"Not found")</f>
        <v>Mr. Bello</v>
      </c>
      <c r="L688">
        <f>_xlfn.XLOOKUP(B688,zones_lookup!A:A,zones_lookup!C:C,"Not found")</f>
        <v>1288000</v>
      </c>
    </row>
    <row r="689" spans="1:12" x14ac:dyDescent="0.3">
      <c r="A689" s="2">
        <v>45776</v>
      </c>
      <c r="B689" t="s">
        <v>89</v>
      </c>
      <c r="C689" t="s">
        <v>90</v>
      </c>
      <c r="D689">
        <v>6</v>
      </c>
      <c r="E689">
        <v>30.4</v>
      </c>
      <c r="F689">
        <v>151.1</v>
      </c>
      <c r="G689">
        <v>2</v>
      </c>
      <c r="H689">
        <v>4</v>
      </c>
      <c r="I689" t="s">
        <v>1668</v>
      </c>
      <c r="J689">
        <v>5.0666666666666664</v>
      </c>
      <c r="K689" t="str">
        <f>_xlfn.XLOOKUP(B689,zones_lookup!A:A,zones_lookup!B:B,"Not found")</f>
        <v>Mr. Salami</v>
      </c>
      <c r="L689">
        <f>_xlfn.XLOOKUP(B689,zones_lookup!A:A,zones_lookup!C:C,"Not found")</f>
        <v>200000</v>
      </c>
    </row>
    <row r="690" spans="1:12" x14ac:dyDescent="0.3">
      <c r="A690" s="2">
        <v>45793</v>
      </c>
      <c r="B690" t="s">
        <v>108</v>
      </c>
      <c r="C690" t="s">
        <v>109</v>
      </c>
      <c r="D690">
        <v>3</v>
      </c>
      <c r="E690">
        <v>16.2</v>
      </c>
      <c r="F690">
        <v>107.2</v>
      </c>
      <c r="G690">
        <v>2</v>
      </c>
      <c r="H690">
        <v>5</v>
      </c>
      <c r="I690" t="s">
        <v>1663</v>
      </c>
      <c r="J690">
        <v>5.3999999999999995</v>
      </c>
      <c r="K690" t="str">
        <f>_xlfn.XLOOKUP(B690,zones_lookup!A:A,zones_lookup!B:B,"Not found")</f>
        <v>Mrs. Okafor</v>
      </c>
      <c r="L690">
        <f>_xlfn.XLOOKUP(B690,zones_lookup!A:A,zones_lookup!C:C,"Not found")</f>
        <v>503000</v>
      </c>
    </row>
    <row r="691" spans="1:12" x14ac:dyDescent="0.3">
      <c r="A691" s="2">
        <v>45818</v>
      </c>
      <c r="B691" t="s">
        <v>41</v>
      </c>
      <c r="C691" t="s">
        <v>42</v>
      </c>
      <c r="D691">
        <v>5</v>
      </c>
      <c r="E691">
        <v>34.200000000000003</v>
      </c>
      <c r="F691">
        <v>229.8</v>
      </c>
      <c r="G691">
        <v>1</v>
      </c>
      <c r="H691">
        <v>6</v>
      </c>
      <c r="I691" t="s">
        <v>1667</v>
      </c>
      <c r="J691">
        <v>6.8400000000000007</v>
      </c>
      <c r="K691" t="str">
        <f>_xlfn.XLOOKUP(B691,zones_lookup!A:A,zones_lookup!B:B,"Not found")</f>
        <v>Mrs. Adisa</v>
      </c>
      <c r="L691">
        <f>_xlfn.XLOOKUP(B691,zones_lookup!A:A,zones_lookup!C:C,"Not found")</f>
        <v>633000</v>
      </c>
    </row>
    <row r="692" spans="1:12" x14ac:dyDescent="0.3">
      <c r="A692" s="2">
        <v>45931</v>
      </c>
      <c r="B692" t="s">
        <v>108</v>
      </c>
      <c r="C692" t="s">
        <v>109</v>
      </c>
      <c r="D692">
        <v>5</v>
      </c>
      <c r="E692">
        <v>34</v>
      </c>
      <c r="F692">
        <v>152.69999999999999</v>
      </c>
      <c r="G692">
        <v>1</v>
      </c>
      <c r="H692">
        <v>10</v>
      </c>
      <c r="I692" t="s">
        <v>1669</v>
      </c>
      <c r="J692">
        <v>6.8</v>
      </c>
      <c r="K692" t="str">
        <f>_xlfn.XLOOKUP(B692,zones_lookup!A:A,zones_lookup!B:B,"Not found")</f>
        <v>Mrs. Okafor</v>
      </c>
      <c r="L692">
        <f>_xlfn.XLOOKUP(B692,zones_lookup!A:A,zones_lookup!C:C,"Not found")</f>
        <v>503000</v>
      </c>
    </row>
    <row r="693" spans="1:12" x14ac:dyDescent="0.3">
      <c r="A693" s="2">
        <v>45741</v>
      </c>
      <c r="B693" t="s">
        <v>89</v>
      </c>
      <c r="C693" t="s">
        <v>90</v>
      </c>
      <c r="D693">
        <v>3</v>
      </c>
      <c r="F693">
        <v>97.7</v>
      </c>
      <c r="G693">
        <v>0</v>
      </c>
      <c r="H693">
        <v>3</v>
      </c>
      <c r="I693" t="s">
        <v>1662</v>
      </c>
      <c r="K693" t="str">
        <f>_xlfn.XLOOKUP(B693,zones_lookup!A:A,zones_lookup!B:B,"Not found")</f>
        <v>Mr. Salami</v>
      </c>
      <c r="L693">
        <f>_xlfn.XLOOKUP(B693,zones_lookup!A:A,zones_lookup!C:C,"Not found")</f>
        <v>200000</v>
      </c>
    </row>
    <row r="694" spans="1:12" x14ac:dyDescent="0.3">
      <c r="A694" s="2">
        <v>45820</v>
      </c>
      <c r="B694" t="s">
        <v>27</v>
      </c>
      <c r="C694" t="s">
        <v>28</v>
      </c>
      <c r="D694">
        <v>2</v>
      </c>
      <c r="E694">
        <v>15.3</v>
      </c>
      <c r="F694">
        <v>66.5</v>
      </c>
      <c r="G694">
        <v>1</v>
      </c>
      <c r="H694">
        <v>6</v>
      </c>
      <c r="I694" t="s">
        <v>1667</v>
      </c>
      <c r="J694">
        <v>7.65</v>
      </c>
      <c r="K694" t="str">
        <f>_xlfn.XLOOKUP(B694,zones_lookup!A:A,zones_lookup!B:B,"Not found")</f>
        <v>Mr. Bello</v>
      </c>
      <c r="L694">
        <f>_xlfn.XLOOKUP(B694,zones_lookup!A:A,zones_lookup!C:C,"Not found")</f>
        <v>1288000</v>
      </c>
    </row>
    <row r="695" spans="1:12" x14ac:dyDescent="0.3">
      <c r="A695" s="2">
        <v>45952</v>
      </c>
      <c r="B695" t="s">
        <v>93</v>
      </c>
      <c r="C695" t="s">
        <v>101</v>
      </c>
      <c r="D695">
        <v>6</v>
      </c>
      <c r="E695">
        <v>23.8</v>
      </c>
      <c r="F695">
        <v>224</v>
      </c>
      <c r="G695">
        <v>2</v>
      </c>
      <c r="H695">
        <v>10</v>
      </c>
      <c r="I695" t="s">
        <v>1669</v>
      </c>
      <c r="J695">
        <v>3.9666666666666668</v>
      </c>
      <c r="K695" t="str">
        <f>_xlfn.XLOOKUP(B695,zones_lookup!A:A,zones_lookup!B:B,"Not found")</f>
        <v>Mr. Ogunleye</v>
      </c>
      <c r="L695">
        <f>_xlfn.XLOOKUP(B695,zones_lookup!A:A,zones_lookup!C:C,"Not found")</f>
        <v>181000</v>
      </c>
    </row>
    <row r="696" spans="1:12" x14ac:dyDescent="0.3">
      <c r="A696" s="2">
        <v>45835</v>
      </c>
      <c r="B696" t="s">
        <v>41</v>
      </c>
      <c r="C696" t="s">
        <v>42</v>
      </c>
      <c r="D696">
        <v>5</v>
      </c>
      <c r="E696">
        <v>39.4</v>
      </c>
      <c r="G696">
        <v>3</v>
      </c>
      <c r="H696">
        <v>6</v>
      </c>
      <c r="I696" t="s">
        <v>1667</v>
      </c>
      <c r="J696">
        <v>7.88</v>
      </c>
      <c r="K696" t="str">
        <f>_xlfn.XLOOKUP(B696,zones_lookup!A:A,zones_lookup!B:B,"Not found")</f>
        <v>Mrs. Adisa</v>
      </c>
      <c r="L696">
        <f>_xlfn.XLOOKUP(B696,zones_lookup!A:A,zones_lookup!C:C,"Not found")</f>
        <v>633000</v>
      </c>
    </row>
    <row r="697" spans="1:12" x14ac:dyDescent="0.3">
      <c r="A697" s="2">
        <v>45749</v>
      </c>
      <c r="B697" t="s">
        <v>49</v>
      </c>
      <c r="C697" t="s">
        <v>50</v>
      </c>
      <c r="D697">
        <v>4</v>
      </c>
      <c r="E697">
        <v>17.5</v>
      </c>
      <c r="F697">
        <v>161.4</v>
      </c>
      <c r="G697">
        <v>2</v>
      </c>
      <c r="H697">
        <v>4</v>
      </c>
      <c r="I697" t="s">
        <v>1668</v>
      </c>
      <c r="J697">
        <v>4.375</v>
      </c>
      <c r="K697" t="str">
        <f>_xlfn.XLOOKUP(B697,zones_lookup!A:A,zones_lookup!B:B,"Not found")</f>
        <v>Mrs. Johnson</v>
      </c>
      <c r="L697">
        <f>_xlfn.XLOOKUP(B697,zones_lookup!A:A,zones_lookup!C:C,"Not found")</f>
        <v>241000</v>
      </c>
    </row>
    <row r="698" spans="1:12" x14ac:dyDescent="0.3">
      <c r="A698" s="2">
        <v>45797</v>
      </c>
      <c r="B698" t="s">
        <v>108</v>
      </c>
      <c r="C698" t="s">
        <v>208</v>
      </c>
      <c r="D698">
        <v>4</v>
      </c>
      <c r="E698">
        <v>25.6</v>
      </c>
      <c r="F698">
        <v>151.80000000000001</v>
      </c>
      <c r="G698">
        <v>0</v>
      </c>
      <c r="H698">
        <v>5</v>
      </c>
      <c r="I698" t="s">
        <v>1663</v>
      </c>
      <c r="J698">
        <v>6.4</v>
      </c>
      <c r="K698" t="str">
        <f>_xlfn.XLOOKUP(B698,zones_lookup!A:A,zones_lookup!B:B,"Not found")</f>
        <v>Mrs. Okafor</v>
      </c>
      <c r="L698">
        <f>_xlfn.XLOOKUP(B698,zones_lookup!A:A,zones_lookup!C:C,"Not found")</f>
        <v>503000</v>
      </c>
    </row>
    <row r="699" spans="1:12" x14ac:dyDescent="0.3">
      <c r="A699" s="2">
        <v>45920</v>
      </c>
      <c r="B699" t="s">
        <v>60</v>
      </c>
      <c r="C699" t="s">
        <v>61</v>
      </c>
      <c r="D699">
        <v>5</v>
      </c>
      <c r="E699">
        <v>20.6</v>
      </c>
      <c r="F699">
        <v>230</v>
      </c>
      <c r="G699">
        <v>1</v>
      </c>
      <c r="H699">
        <v>9</v>
      </c>
      <c r="I699" t="s">
        <v>1670</v>
      </c>
      <c r="J699">
        <v>4.12</v>
      </c>
      <c r="K699" t="str">
        <f>_xlfn.XLOOKUP(B699,zones_lookup!A:A,zones_lookup!B:B,"Not found")</f>
        <v>Mrs. Eze</v>
      </c>
      <c r="L699">
        <f>_xlfn.XLOOKUP(B699,zones_lookup!A:A,zones_lookup!C:C,"Not found")</f>
        <v>535000</v>
      </c>
    </row>
    <row r="700" spans="1:12" x14ac:dyDescent="0.3">
      <c r="A700" s="2">
        <v>45971</v>
      </c>
      <c r="B700" t="s">
        <v>41</v>
      </c>
      <c r="C700" t="s">
        <v>42</v>
      </c>
      <c r="D700">
        <v>2</v>
      </c>
      <c r="E700">
        <v>12.5</v>
      </c>
      <c r="F700">
        <v>92</v>
      </c>
      <c r="G700">
        <v>2</v>
      </c>
      <c r="H700">
        <v>11</v>
      </c>
      <c r="I700" t="s">
        <v>1664</v>
      </c>
      <c r="J700">
        <v>6.25</v>
      </c>
      <c r="K700" t="str">
        <f>_xlfn.XLOOKUP(B700,zones_lookup!A:A,zones_lookup!B:B,"Not found")</f>
        <v>Mrs. Adisa</v>
      </c>
      <c r="L700">
        <f>_xlfn.XLOOKUP(B700,zones_lookup!A:A,zones_lookup!C:C,"Not found")</f>
        <v>633000</v>
      </c>
    </row>
    <row r="701" spans="1:12" x14ac:dyDescent="0.3">
      <c r="A701" s="2">
        <v>45676</v>
      </c>
      <c r="B701" t="s">
        <v>41</v>
      </c>
      <c r="C701" t="s">
        <v>73</v>
      </c>
      <c r="D701">
        <v>4</v>
      </c>
      <c r="E701">
        <v>28.9</v>
      </c>
      <c r="F701">
        <v>159.80000000000001</v>
      </c>
      <c r="G701">
        <v>1</v>
      </c>
      <c r="H701">
        <v>1</v>
      </c>
      <c r="I701" t="s">
        <v>1660</v>
      </c>
      <c r="J701">
        <v>7.2249999999999996</v>
      </c>
      <c r="K701" t="str">
        <f>_xlfn.XLOOKUP(B701,zones_lookup!A:A,zones_lookup!B:B,"Not found")</f>
        <v>Mrs. Adisa</v>
      </c>
      <c r="L701">
        <f>_xlfn.XLOOKUP(B701,zones_lookup!A:A,zones_lookup!C:C,"Not found")</f>
        <v>633000</v>
      </c>
    </row>
    <row r="702" spans="1:12" x14ac:dyDescent="0.3">
      <c r="A702" s="2">
        <v>45914</v>
      </c>
      <c r="B702" t="s">
        <v>49</v>
      </c>
      <c r="C702" t="s">
        <v>52</v>
      </c>
      <c r="D702">
        <v>3</v>
      </c>
      <c r="E702">
        <v>12</v>
      </c>
      <c r="F702">
        <v>116.5</v>
      </c>
      <c r="G702">
        <v>2</v>
      </c>
      <c r="H702">
        <v>9</v>
      </c>
      <c r="I702" t="s">
        <v>1670</v>
      </c>
      <c r="J702">
        <v>4</v>
      </c>
      <c r="K702" t="str">
        <f>_xlfn.XLOOKUP(B702,zones_lookup!A:A,zones_lookup!B:B,"Not found")</f>
        <v>Mrs. Johnson</v>
      </c>
      <c r="L702">
        <f>_xlfn.XLOOKUP(B702,zones_lookup!A:A,zones_lookup!C:C,"Not found")</f>
        <v>241000</v>
      </c>
    </row>
    <row r="703" spans="1:12" x14ac:dyDescent="0.3">
      <c r="A703" s="2">
        <v>45906</v>
      </c>
      <c r="B703" t="s">
        <v>89</v>
      </c>
      <c r="C703" t="s">
        <v>66</v>
      </c>
      <c r="D703">
        <v>3</v>
      </c>
      <c r="E703">
        <v>21.8</v>
      </c>
      <c r="F703">
        <v>118.5</v>
      </c>
      <c r="G703">
        <v>2</v>
      </c>
      <c r="H703">
        <v>9</v>
      </c>
      <c r="I703" t="s">
        <v>1670</v>
      </c>
      <c r="J703">
        <v>7.2666666666666666</v>
      </c>
      <c r="K703" t="str">
        <f>_xlfn.XLOOKUP(B703,zones_lookup!A:A,zones_lookup!B:B,"Not found")</f>
        <v>Mr. Salami</v>
      </c>
      <c r="L703">
        <f>_xlfn.XLOOKUP(B703,zones_lookup!A:A,zones_lookup!C:C,"Not found")</f>
        <v>200000</v>
      </c>
    </row>
    <row r="704" spans="1:12" x14ac:dyDescent="0.3">
      <c r="A704" s="2">
        <v>45775</v>
      </c>
      <c r="B704" t="s">
        <v>76</v>
      </c>
      <c r="C704" t="s">
        <v>80</v>
      </c>
      <c r="D704">
        <v>5</v>
      </c>
      <c r="E704">
        <v>34.799999999999997</v>
      </c>
      <c r="F704">
        <v>192.2</v>
      </c>
      <c r="G704">
        <v>1</v>
      </c>
      <c r="H704">
        <v>4</v>
      </c>
      <c r="I704" t="s">
        <v>1668</v>
      </c>
      <c r="J704">
        <v>6.9599999999999991</v>
      </c>
      <c r="K704" t="str">
        <f>_xlfn.XLOOKUP(B704,zones_lookup!A:A,zones_lookup!B:B,"Not found")</f>
        <v>Mr. Adeyemi</v>
      </c>
      <c r="L704">
        <f>_xlfn.XLOOKUP(B704,zones_lookup!A:A,zones_lookup!C:C,"Not found")</f>
        <v>313000</v>
      </c>
    </row>
    <row r="705" spans="1:12" x14ac:dyDescent="0.3">
      <c r="A705" s="2">
        <v>46019</v>
      </c>
      <c r="B705" t="s">
        <v>49</v>
      </c>
      <c r="C705" t="s">
        <v>52</v>
      </c>
      <c r="D705">
        <v>2</v>
      </c>
      <c r="F705">
        <v>70.599999999999994</v>
      </c>
      <c r="G705">
        <v>2</v>
      </c>
      <c r="H705">
        <v>12</v>
      </c>
      <c r="I705" t="s">
        <v>1671</v>
      </c>
      <c r="K705" t="str">
        <f>_xlfn.XLOOKUP(B705,zones_lookup!A:A,zones_lookup!B:B,"Not found")</f>
        <v>Mrs. Johnson</v>
      </c>
      <c r="L705">
        <f>_xlfn.XLOOKUP(B705,zones_lookup!A:A,zones_lookup!C:C,"Not found")</f>
        <v>241000</v>
      </c>
    </row>
    <row r="706" spans="1:12" x14ac:dyDescent="0.3">
      <c r="A706" s="2">
        <v>45881</v>
      </c>
      <c r="B706" t="s">
        <v>60</v>
      </c>
      <c r="C706" t="s">
        <v>64</v>
      </c>
      <c r="D706">
        <v>3</v>
      </c>
      <c r="E706">
        <v>12.7</v>
      </c>
      <c r="F706">
        <v>111.1</v>
      </c>
      <c r="G706">
        <v>0</v>
      </c>
      <c r="H706">
        <v>8</v>
      </c>
      <c r="I706" t="s">
        <v>1666</v>
      </c>
      <c r="J706">
        <v>4.2333333333333334</v>
      </c>
      <c r="K706" t="str">
        <f>_xlfn.XLOOKUP(B706,zones_lookup!A:A,zones_lookup!B:B,"Not found")</f>
        <v>Mrs. Eze</v>
      </c>
      <c r="L706">
        <f>_xlfn.XLOOKUP(B706,zones_lookup!A:A,zones_lookup!C:C,"Not found")</f>
        <v>535000</v>
      </c>
    </row>
    <row r="707" spans="1:12" x14ac:dyDescent="0.3">
      <c r="A707" s="2">
        <v>45695</v>
      </c>
      <c r="B707" t="s">
        <v>89</v>
      </c>
      <c r="C707" t="s">
        <v>90</v>
      </c>
      <c r="D707">
        <v>5</v>
      </c>
      <c r="E707">
        <v>29.9</v>
      </c>
      <c r="F707">
        <v>196.6</v>
      </c>
      <c r="G707">
        <v>0</v>
      </c>
      <c r="H707">
        <v>2</v>
      </c>
      <c r="I707" t="s">
        <v>1665</v>
      </c>
      <c r="J707">
        <v>5.9799999999999995</v>
      </c>
      <c r="K707" t="str">
        <f>_xlfn.XLOOKUP(B707,zones_lookup!A:A,zones_lookup!B:B,"Not found")</f>
        <v>Mr. Salami</v>
      </c>
      <c r="L707">
        <f>_xlfn.XLOOKUP(B707,zones_lookup!A:A,zones_lookup!C:C,"Not found")</f>
        <v>200000</v>
      </c>
    </row>
    <row r="708" spans="1:12" x14ac:dyDescent="0.3">
      <c r="A708" s="2">
        <v>45882</v>
      </c>
      <c r="B708" t="s">
        <v>93</v>
      </c>
      <c r="C708" t="s">
        <v>57</v>
      </c>
      <c r="D708">
        <v>5</v>
      </c>
      <c r="E708">
        <v>11.7</v>
      </c>
      <c r="F708">
        <v>213.4</v>
      </c>
      <c r="G708">
        <v>3</v>
      </c>
      <c r="H708">
        <v>8</v>
      </c>
      <c r="I708" t="s">
        <v>1666</v>
      </c>
      <c r="J708">
        <v>2.34</v>
      </c>
      <c r="K708" t="str">
        <f>_xlfn.XLOOKUP(B708,zones_lookup!A:A,zones_lookup!B:B,"Not found")</f>
        <v>Mr. Ogunleye</v>
      </c>
      <c r="L708">
        <f>_xlfn.XLOOKUP(B708,zones_lookup!A:A,zones_lookup!C:C,"Not found")</f>
        <v>181000</v>
      </c>
    </row>
    <row r="709" spans="1:12" x14ac:dyDescent="0.3">
      <c r="A709" s="2">
        <v>45880</v>
      </c>
      <c r="B709" t="s">
        <v>93</v>
      </c>
      <c r="C709" t="s">
        <v>57</v>
      </c>
      <c r="D709">
        <v>5</v>
      </c>
      <c r="E709">
        <v>15.8</v>
      </c>
      <c r="F709">
        <v>176.3</v>
      </c>
      <c r="G709">
        <v>3</v>
      </c>
      <c r="H709">
        <v>8</v>
      </c>
      <c r="I709" t="s">
        <v>1666</v>
      </c>
      <c r="J709">
        <v>3.16</v>
      </c>
      <c r="K709" t="str">
        <f>_xlfn.XLOOKUP(B709,zones_lookup!A:A,zones_lookup!B:B,"Not found")</f>
        <v>Mr. Ogunleye</v>
      </c>
      <c r="L709">
        <f>_xlfn.XLOOKUP(B709,zones_lookup!A:A,zones_lookup!C:C,"Not found")</f>
        <v>181000</v>
      </c>
    </row>
    <row r="710" spans="1:12" x14ac:dyDescent="0.3">
      <c r="A710" s="2">
        <v>45694</v>
      </c>
      <c r="B710" t="s">
        <v>49</v>
      </c>
      <c r="C710" t="s">
        <v>50</v>
      </c>
      <c r="D710">
        <v>4</v>
      </c>
      <c r="E710">
        <v>14</v>
      </c>
      <c r="F710">
        <v>160.4</v>
      </c>
      <c r="G710">
        <v>2</v>
      </c>
      <c r="H710">
        <v>2</v>
      </c>
      <c r="I710" t="s">
        <v>1665</v>
      </c>
      <c r="J710">
        <v>3.5</v>
      </c>
      <c r="K710" t="str">
        <f>_xlfn.XLOOKUP(B710,zones_lookup!A:A,zones_lookup!B:B,"Not found")</f>
        <v>Mrs. Johnson</v>
      </c>
      <c r="L710">
        <f>_xlfn.XLOOKUP(B710,zones_lookup!A:A,zones_lookup!C:C,"Not found")</f>
        <v>241000</v>
      </c>
    </row>
    <row r="711" spans="1:12" x14ac:dyDescent="0.3">
      <c r="A711" s="2">
        <v>45702</v>
      </c>
      <c r="B711" t="s">
        <v>60</v>
      </c>
      <c r="C711" t="s">
        <v>69</v>
      </c>
      <c r="D711">
        <v>2</v>
      </c>
      <c r="E711">
        <v>7.7</v>
      </c>
      <c r="F711">
        <v>88.9</v>
      </c>
      <c r="G711">
        <v>2</v>
      </c>
      <c r="H711">
        <v>2</v>
      </c>
      <c r="I711" t="s">
        <v>1665</v>
      </c>
      <c r="J711">
        <v>3.85</v>
      </c>
      <c r="K711" t="str">
        <f>_xlfn.XLOOKUP(B711,zones_lookup!A:A,zones_lookup!B:B,"Not found")</f>
        <v>Mrs. Eze</v>
      </c>
      <c r="L711">
        <f>_xlfn.XLOOKUP(B711,zones_lookup!A:A,zones_lookup!C:C,"Not found")</f>
        <v>535000</v>
      </c>
    </row>
    <row r="712" spans="1:12" x14ac:dyDescent="0.3">
      <c r="A712" s="2">
        <v>45839</v>
      </c>
      <c r="B712" t="s">
        <v>93</v>
      </c>
      <c r="C712" t="s">
        <v>57</v>
      </c>
      <c r="D712">
        <v>6</v>
      </c>
      <c r="E712">
        <v>24.2</v>
      </c>
      <c r="F712">
        <v>170.7</v>
      </c>
      <c r="G712">
        <v>1</v>
      </c>
      <c r="H712">
        <v>7</v>
      </c>
      <c r="I712" t="s">
        <v>1661</v>
      </c>
      <c r="J712">
        <v>4.0333333333333332</v>
      </c>
      <c r="K712" t="str">
        <f>_xlfn.XLOOKUP(B712,zones_lookup!A:A,zones_lookup!B:B,"Not found")</f>
        <v>Mr. Ogunleye</v>
      </c>
      <c r="L712">
        <f>_xlfn.XLOOKUP(B712,zones_lookup!A:A,zones_lookup!C:C,"Not found")</f>
        <v>181000</v>
      </c>
    </row>
    <row r="713" spans="1:12" x14ac:dyDescent="0.3">
      <c r="A713" s="2">
        <v>45759</v>
      </c>
      <c r="B713" t="s">
        <v>89</v>
      </c>
      <c r="C713" t="s">
        <v>90</v>
      </c>
      <c r="D713">
        <v>6</v>
      </c>
      <c r="E713">
        <v>32.1</v>
      </c>
      <c r="F713">
        <v>222.4</v>
      </c>
      <c r="G713">
        <v>2</v>
      </c>
      <c r="H713">
        <v>4</v>
      </c>
      <c r="I713" t="s">
        <v>1668</v>
      </c>
      <c r="J713">
        <v>5.3500000000000005</v>
      </c>
      <c r="K713" t="str">
        <f>_xlfn.XLOOKUP(B713,zones_lookup!A:A,zones_lookup!B:B,"Not found")</f>
        <v>Mr. Salami</v>
      </c>
      <c r="L713">
        <f>_xlfn.XLOOKUP(B713,zones_lookup!A:A,zones_lookup!C:C,"Not found")</f>
        <v>200000</v>
      </c>
    </row>
    <row r="714" spans="1:12" x14ac:dyDescent="0.3">
      <c r="A714" s="2">
        <v>45924</v>
      </c>
      <c r="B714" t="s">
        <v>27</v>
      </c>
      <c r="C714" t="s">
        <v>31</v>
      </c>
      <c r="D714">
        <v>2</v>
      </c>
      <c r="E714">
        <v>14.9</v>
      </c>
      <c r="F714">
        <v>65.7</v>
      </c>
      <c r="G714">
        <v>2</v>
      </c>
      <c r="H714">
        <v>9</v>
      </c>
      <c r="I714" t="s">
        <v>1670</v>
      </c>
      <c r="J714">
        <v>7.45</v>
      </c>
      <c r="K714" t="str">
        <f>_xlfn.XLOOKUP(B714,zones_lookup!A:A,zones_lookup!B:B,"Not found")</f>
        <v>Mr. Bello</v>
      </c>
      <c r="L714">
        <f>_xlfn.XLOOKUP(B714,zones_lookup!A:A,zones_lookup!C:C,"Not found")</f>
        <v>1288000</v>
      </c>
    </row>
    <row r="715" spans="1:12" x14ac:dyDescent="0.3">
      <c r="A715" s="2">
        <v>45760</v>
      </c>
      <c r="B715" t="s">
        <v>93</v>
      </c>
      <c r="C715" t="s">
        <v>101</v>
      </c>
      <c r="D715">
        <v>2</v>
      </c>
      <c r="E715">
        <v>7.3</v>
      </c>
      <c r="F715">
        <v>45.3</v>
      </c>
      <c r="G715">
        <v>1</v>
      </c>
      <c r="H715">
        <v>4</v>
      </c>
      <c r="I715" t="s">
        <v>1668</v>
      </c>
      <c r="J715">
        <v>3.65</v>
      </c>
      <c r="K715" t="str">
        <f>_xlfn.XLOOKUP(B715,zones_lookup!A:A,zones_lookup!B:B,"Not found")</f>
        <v>Mr. Ogunleye</v>
      </c>
      <c r="L715">
        <f>_xlfn.XLOOKUP(B715,zones_lookup!A:A,zones_lookup!C:C,"Not found")</f>
        <v>181000</v>
      </c>
    </row>
    <row r="716" spans="1:12" x14ac:dyDescent="0.3">
      <c r="A716" s="2">
        <v>46008</v>
      </c>
      <c r="B716" t="s">
        <v>89</v>
      </c>
      <c r="C716" t="s">
        <v>90</v>
      </c>
      <c r="D716">
        <v>5</v>
      </c>
      <c r="E716">
        <v>28.3</v>
      </c>
      <c r="F716">
        <v>225.1</v>
      </c>
      <c r="G716">
        <v>3</v>
      </c>
      <c r="H716">
        <v>12</v>
      </c>
      <c r="I716" t="s">
        <v>1671</v>
      </c>
      <c r="J716">
        <v>5.66</v>
      </c>
      <c r="K716" t="str">
        <f>_xlfn.XLOOKUP(B716,zones_lookup!A:A,zones_lookup!B:B,"Not found")</f>
        <v>Mr. Salami</v>
      </c>
      <c r="L716">
        <f>_xlfn.XLOOKUP(B716,zones_lookup!A:A,zones_lookup!C:C,"Not found")</f>
        <v>200000</v>
      </c>
    </row>
    <row r="717" spans="1:12" x14ac:dyDescent="0.3">
      <c r="A717" s="2">
        <v>45861</v>
      </c>
      <c r="B717" t="s">
        <v>41</v>
      </c>
      <c r="C717" t="s">
        <v>66</v>
      </c>
      <c r="D717">
        <v>5</v>
      </c>
      <c r="E717">
        <v>38.700000000000003</v>
      </c>
      <c r="F717">
        <v>203.9</v>
      </c>
      <c r="G717">
        <v>3</v>
      </c>
      <c r="H717">
        <v>7</v>
      </c>
      <c r="I717" t="s">
        <v>1661</v>
      </c>
      <c r="J717">
        <v>7.74</v>
      </c>
      <c r="K717" t="str">
        <f>_xlfn.XLOOKUP(B717,zones_lookup!A:A,zones_lookup!B:B,"Not found")</f>
        <v>Mrs. Adisa</v>
      </c>
      <c r="L717">
        <f>_xlfn.XLOOKUP(B717,zones_lookup!A:A,zones_lookup!C:C,"Not found")</f>
        <v>633000</v>
      </c>
    </row>
    <row r="718" spans="1:12" x14ac:dyDescent="0.3">
      <c r="A718" s="2">
        <v>45845</v>
      </c>
      <c r="B718" t="s">
        <v>89</v>
      </c>
      <c r="C718" t="s">
        <v>131</v>
      </c>
      <c r="D718">
        <v>2</v>
      </c>
      <c r="E718">
        <v>10.7</v>
      </c>
      <c r="F718">
        <v>86.4</v>
      </c>
      <c r="G718">
        <v>0</v>
      </c>
      <c r="H718">
        <v>7</v>
      </c>
      <c r="I718" t="s">
        <v>1661</v>
      </c>
      <c r="J718">
        <v>5.35</v>
      </c>
      <c r="K718" t="str">
        <f>_xlfn.XLOOKUP(B718,zones_lookup!A:A,zones_lookup!B:B,"Not found")</f>
        <v>Mr. Salami</v>
      </c>
      <c r="L718">
        <f>_xlfn.XLOOKUP(B718,zones_lookup!A:A,zones_lookup!C:C,"Not found")</f>
        <v>200000</v>
      </c>
    </row>
    <row r="719" spans="1:12" x14ac:dyDescent="0.3">
      <c r="A719" s="2">
        <v>45787</v>
      </c>
      <c r="B719" t="s">
        <v>49</v>
      </c>
      <c r="C719" t="s">
        <v>52</v>
      </c>
      <c r="D719">
        <v>2</v>
      </c>
      <c r="E719">
        <v>7.9</v>
      </c>
      <c r="F719">
        <v>79.8</v>
      </c>
      <c r="G719">
        <v>2</v>
      </c>
      <c r="H719">
        <v>5</v>
      </c>
      <c r="I719" t="s">
        <v>1663</v>
      </c>
      <c r="J719">
        <v>3.95</v>
      </c>
      <c r="K719" t="str">
        <f>_xlfn.XLOOKUP(B719,zones_lookup!A:A,zones_lookup!B:B,"Not found")</f>
        <v>Mrs. Johnson</v>
      </c>
      <c r="L719">
        <f>_xlfn.XLOOKUP(B719,zones_lookup!A:A,zones_lookup!C:C,"Not found")</f>
        <v>241000</v>
      </c>
    </row>
    <row r="720" spans="1:12" x14ac:dyDescent="0.3">
      <c r="A720" s="2">
        <v>45957</v>
      </c>
      <c r="B720" t="s">
        <v>41</v>
      </c>
      <c r="C720" t="s">
        <v>73</v>
      </c>
      <c r="D720">
        <v>5</v>
      </c>
      <c r="E720">
        <v>34.1</v>
      </c>
      <c r="F720">
        <v>178.5</v>
      </c>
      <c r="G720">
        <v>2</v>
      </c>
      <c r="H720">
        <v>10</v>
      </c>
      <c r="I720" t="s">
        <v>1669</v>
      </c>
      <c r="J720">
        <v>6.82</v>
      </c>
      <c r="K720" t="str">
        <f>_xlfn.XLOOKUP(B720,zones_lookup!A:A,zones_lookup!B:B,"Not found")</f>
        <v>Mrs. Adisa</v>
      </c>
      <c r="L720">
        <f>_xlfn.XLOOKUP(B720,zones_lookup!A:A,zones_lookup!C:C,"Not found")</f>
        <v>633000</v>
      </c>
    </row>
    <row r="721" spans="1:12" x14ac:dyDescent="0.3">
      <c r="A721" s="2">
        <v>45865</v>
      </c>
      <c r="B721" t="s">
        <v>49</v>
      </c>
      <c r="C721" t="s">
        <v>52</v>
      </c>
      <c r="D721">
        <v>3</v>
      </c>
      <c r="E721">
        <v>10</v>
      </c>
      <c r="F721">
        <v>121.3</v>
      </c>
      <c r="G721">
        <v>3</v>
      </c>
      <c r="H721">
        <v>7</v>
      </c>
      <c r="I721" t="s">
        <v>1661</v>
      </c>
      <c r="J721">
        <v>3.3333333333333335</v>
      </c>
      <c r="K721" t="str">
        <f>_xlfn.XLOOKUP(B721,zones_lookup!A:A,zones_lookup!B:B,"Not found")</f>
        <v>Mrs. Johnson</v>
      </c>
      <c r="L721">
        <f>_xlfn.XLOOKUP(B721,zones_lookup!A:A,zones_lookup!C:C,"Not found")</f>
        <v>241000</v>
      </c>
    </row>
    <row r="722" spans="1:12" x14ac:dyDescent="0.3">
      <c r="A722" s="2">
        <v>45797</v>
      </c>
      <c r="B722" t="s">
        <v>93</v>
      </c>
      <c r="C722" t="s">
        <v>101</v>
      </c>
      <c r="D722">
        <v>3</v>
      </c>
      <c r="E722">
        <v>11.1</v>
      </c>
      <c r="F722">
        <v>121.1</v>
      </c>
      <c r="G722">
        <v>2</v>
      </c>
      <c r="H722">
        <v>5</v>
      </c>
      <c r="I722" t="s">
        <v>1663</v>
      </c>
      <c r="J722">
        <v>3.6999999999999997</v>
      </c>
      <c r="K722" t="str">
        <f>_xlfn.XLOOKUP(B722,zones_lookup!A:A,zones_lookup!B:B,"Not found")</f>
        <v>Mr. Ogunleye</v>
      </c>
      <c r="L722">
        <f>_xlfn.XLOOKUP(B722,zones_lookup!A:A,zones_lookup!C:C,"Not found")</f>
        <v>181000</v>
      </c>
    </row>
    <row r="723" spans="1:12" x14ac:dyDescent="0.3">
      <c r="A723" s="2">
        <v>45876</v>
      </c>
      <c r="B723" t="s">
        <v>108</v>
      </c>
      <c r="C723" t="s">
        <v>208</v>
      </c>
      <c r="D723">
        <v>5</v>
      </c>
      <c r="E723">
        <v>32.6</v>
      </c>
      <c r="F723">
        <v>179.5</v>
      </c>
      <c r="G723">
        <v>1</v>
      </c>
      <c r="H723">
        <v>8</v>
      </c>
      <c r="I723" t="s">
        <v>1666</v>
      </c>
      <c r="J723">
        <v>6.5200000000000005</v>
      </c>
      <c r="K723" t="str">
        <f>_xlfn.XLOOKUP(B723,zones_lookup!A:A,zones_lookup!B:B,"Not found")</f>
        <v>Mrs. Okafor</v>
      </c>
      <c r="L723">
        <f>_xlfn.XLOOKUP(B723,zones_lookup!A:A,zones_lookup!C:C,"Not found")</f>
        <v>503000</v>
      </c>
    </row>
    <row r="724" spans="1:12" x14ac:dyDescent="0.3">
      <c r="A724" s="2">
        <v>45791</v>
      </c>
      <c r="B724" t="s">
        <v>89</v>
      </c>
      <c r="C724" t="s">
        <v>90</v>
      </c>
      <c r="D724">
        <v>4</v>
      </c>
      <c r="E724">
        <v>28.4</v>
      </c>
      <c r="F724">
        <v>160.69999999999999</v>
      </c>
      <c r="G724">
        <v>1</v>
      </c>
      <c r="H724">
        <v>5</v>
      </c>
      <c r="I724" t="s">
        <v>1663</v>
      </c>
      <c r="J724">
        <v>7.1</v>
      </c>
      <c r="K724" t="str">
        <f>_xlfn.XLOOKUP(B724,zones_lookup!A:A,zones_lookup!B:B,"Not found")</f>
        <v>Mr. Salami</v>
      </c>
      <c r="L724">
        <f>_xlfn.XLOOKUP(B724,zones_lookup!A:A,zones_lookup!C:C,"Not found")</f>
        <v>200000</v>
      </c>
    </row>
    <row r="725" spans="1:12" x14ac:dyDescent="0.3">
      <c r="A725" s="2">
        <v>45751</v>
      </c>
      <c r="B725" t="s">
        <v>76</v>
      </c>
      <c r="C725" t="s">
        <v>80</v>
      </c>
      <c r="D725">
        <v>2</v>
      </c>
      <c r="E725">
        <v>13.6</v>
      </c>
      <c r="F725">
        <v>57.5</v>
      </c>
      <c r="H725">
        <v>4</v>
      </c>
      <c r="I725" t="s">
        <v>1668</v>
      </c>
      <c r="J725">
        <v>6.8</v>
      </c>
      <c r="K725" t="str">
        <f>_xlfn.XLOOKUP(B725,zones_lookup!A:A,zones_lookup!B:B,"Not found")</f>
        <v>Mr. Adeyemi</v>
      </c>
      <c r="L725">
        <f>_xlfn.XLOOKUP(B725,zones_lookup!A:A,zones_lookup!C:C,"Not found")</f>
        <v>313000</v>
      </c>
    </row>
    <row r="726" spans="1:12" x14ac:dyDescent="0.3">
      <c r="A726" s="2">
        <v>46022</v>
      </c>
      <c r="B726" t="s">
        <v>108</v>
      </c>
      <c r="C726" t="s">
        <v>169</v>
      </c>
      <c r="D726">
        <v>3</v>
      </c>
      <c r="E726">
        <v>22.7</v>
      </c>
      <c r="F726">
        <v>114.1</v>
      </c>
      <c r="G726">
        <v>1</v>
      </c>
      <c r="H726">
        <v>12</v>
      </c>
      <c r="I726" t="s">
        <v>1671</v>
      </c>
      <c r="J726">
        <v>7.5666666666666664</v>
      </c>
      <c r="K726" t="str">
        <f>_xlfn.XLOOKUP(B726,zones_lookup!A:A,zones_lookup!B:B,"Not found")</f>
        <v>Mrs. Okafor</v>
      </c>
      <c r="L726">
        <f>_xlfn.XLOOKUP(B726,zones_lookup!A:A,zones_lookup!C:C,"Not found")</f>
        <v>503000</v>
      </c>
    </row>
    <row r="727" spans="1:12" x14ac:dyDescent="0.3">
      <c r="A727" s="2">
        <v>45723</v>
      </c>
      <c r="B727" t="s">
        <v>41</v>
      </c>
      <c r="C727" t="s">
        <v>46</v>
      </c>
      <c r="D727">
        <v>4</v>
      </c>
      <c r="E727">
        <v>26.4</v>
      </c>
      <c r="F727">
        <v>139</v>
      </c>
      <c r="G727">
        <v>0</v>
      </c>
      <c r="H727">
        <v>3</v>
      </c>
      <c r="I727" t="s">
        <v>1662</v>
      </c>
      <c r="J727">
        <v>6.6</v>
      </c>
      <c r="K727" t="str">
        <f>_xlfn.XLOOKUP(B727,zones_lookup!A:A,zones_lookup!B:B,"Not found")</f>
        <v>Mrs. Adisa</v>
      </c>
      <c r="L727">
        <f>_xlfn.XLOOKUP(B727,zones_lookup!A:A,zones_lookup!C:C,"Not found")</f>
        <v>633000</v>
      </c>
    </row>
    <row r="728" spans="1:12" x14ac:dyDescent="0.3">
      <c r="A728" s="2">
        <v>45930</v>
      </c>
      <c r="B728" t="s">
        <v>41</v>
      </c>
      <c r="C728" t="s">
        <v>46</v>
      </c>
      <c r="D728">
        <v>4</v>
      </c>
      <c r="E728">
        <v>28.2</v>
      </c>
      <c r="F728">
        <v>191.9</v>
      </c>
      <c r="G728">
        <v>1</v>
      </c>
      <c r="H728">
        <v>9</v>
      </c>
      <c r="I728" t="s">
        <v>1670</v>
      </c>
      <c r="J728">
        <v>7.05</v>
      </c>
      <c r="K728" t="str">
        <f>_xlfn.XLOOKUP(B728,zones_lookup!A:A,zones_lookup!B:B,"Not found")</f>
        <v>Mrs. Adisa</v>
      </c>
      <c r="L728">
        <f>_xlfn.XLOOKUP(B728,zones_lookup!A:A,zones_lookup!C:C,"Not found")</f>
        <v>633000</v>
      </c>
    </row>
    <row r="729" spans="1:12" x14ac:dyDescent="0.3">
      <c r="A729" s="2">
        <v>45901</v>
      </c>
      <c r="B729" t="s">
        <v>49</v>
      </c>
      <c r="C729" t="s">
        <v>52</v>
      </c>
      <c r="D729">
        <v>2</v>
      </c>
      <c r="E729">
        <v>7.7</v>
      </c>
      <c r="F729">
        <v>63.4</v>
      </c>
      <c r="G729">
        <v>4</v>
      </c>
      <c r="H729">
        <v>9</v>
      </c>
      <c r="I729" t="s">
        <v>1670</v>
      </c>
      <c r="J729">
        <v>3.85</v>
      </c>
      <c r="K729" t="str">
        <f>_xlfn.XLOOKUP(B729,zones_lookup!A:A,zones_lookup!B:B,"Not found")</f>
        <v>Mrs. Johnson</v>
      </c>
      <c r="L729">
        <f>_xlfn.XLOOKUP(B729,zones_lookup!A:A,zones_lookup!C:C,"Not found")</f>
        <v>241000</v>
      </c>
    </row>
    <row r="730" spans="1:12" x14ac:dyDescent="0.3">
      <c r="A730" s="2">
        <v>45704</v>
      </c>
      <c r="B730" t="s">
        <v>108</v>
      </c>
      <c r="C730" t="s">
        <v>208</v>
      </c>
      <c r="D730">
        <v>6</v>
      </c>
      <c r="E730">
        <v>31.5</v>
      </c>
      <c r="F730">
        <v>224.2</v>
      </c>
      <c r="G730">
        <v>1</v>
      </c>
      <c r="H730">
        <v>2</v>
      </c>
      <c r="I730" t="s">
        <v>1665</v>
      </c>
      <c r="J730">
        <v>5.25</v>
      </c>
      <c r="K730" t="str">
        <f>_xlfn.XLOOKUP(B730,zones_lookup!A:A,zones_lookup!B:B,"Not found")</f>
        <v>Mrs. Okafor</v>
      </c>
      <c r="L730">
        <f>_xlfn.XLOOKUP(B730,zones_lookup!A:A,zones_lookup!C:C,"Not found")</f>
        <v>503000</v>
      </c>
    </row>
    <row r="731" spans="1:12" x14ac:dyDescent="0.3">
      <c r="A731" s="2">
        <v>45861</v>
      </c>
      <c r="B731" t="s">
        <v>60</v>
      </c>
      <c r="C731" t="s">
        <v>64</v>
      </c>
      <c r="D731">
        <v>4</v>
      </c>
      <c r="F731">
        <v>128</v>
      </c>
      <c r="G731">
        <v>3</v>
      </c>
      <c r="H731">
        <v>7</v>
      </c>
      <c r="I731" t="s">
        <v>1661</v>
      </c>
      <c r="K731" t="str">
        <f>_xlfn.XLOOKUP(B731,zones_lookup!A:A,zones_lookup!B:B,"Not found")</f>
        <v>Mrs. Eze</v>
      </c>
      <c r="L731">
        <f>_xlfn.XLOOKUP(B731,zones_lookup!A:A,zones_lookup!C:C,"Not found")</f>
        <v>535000</v>
      </c>
    </row>
    <row r="732" spans="1:12" x14ac:dyDescent="0.3">
      <c r="A732" s="2">
        <v>45898</v>
      </c>
      <c r="B732" t="s">
        <v>76</v>
      </c>
      <c r="C732" t="s">
        <v>84</v>
      </c>
      <c r="D732">
        <v>2</v>
      </c>
      <c r="E732">
        <v>14.4</v>
      </c>
      <c r="F732">
        <v>84.2</v>
      </c>
      <c r="G732">
        <v>0</v>
      </c>
      <c r="H732">
        <v>8</v>
      </c>
      <c r="I732" t="s">
        <v>1666</v>
      </c>
      <c r="J732">
        <v>7.2</v>
      </c>
      <c r="K732" t="str">
        <f>_xlfn.XLOOKUP(B732,zones_lookup!A:A,zones_lookup!B:B,"Not found")</f>
        <v>Mr. Adeyemi</v>
      </c>
      <c r="L732">
        <f>_xlfn.XLOOKUP(B732,zones_lookup!A:A,zones_lookup!C:C,"Not found")</f>
        <v>313000</v>
      </c>
    </row>
    <row r="733" spans="1:12" x14ac:dyDescent="0.3">
      <c r="A733" s="2">
        <v>45849</v>
      </c>
      <c r="B733" t="s">
        <v>27</v>
      </c>
      <c r="C733" t="s">
        <v>28</v>
      </c>
      <c r="D733">
        <v>5</v>
      </c>
      <c r="E733">
        <v>29.8</v>
      </c>
      <c r="F733">
        <v>188.7</v>
      </c>
      <c r="G733">
        <v>1</v>
      </c>
      <c r="H733">
        <v>7</v>
      </c>
      <c r="I733" t="s">
        <v>1661</v>
      </c>
      <c r="J733">
        <v>5.96</v>
      </c>
      <c r="K733" t="str">
        <f>_xlfn.XLOOKUP(B733,zones_lookup!A:A,zones_lookup!B:B,"Not found")</f>
        <v>Mr. Bello</v>
      </c>
      <c r="L733">
        <f>_xlfn.XLOOKUP(B733,zones_lookup!A:A,zones_lookup!C:C,"Not found")</f>
        <v>1288000</v>
      </c>
    </row>
    <row r="734" spans="1:12" x14ac:dyDescent="0.3">
      <c r="A734" s="2">
        <v>45691</v>
      </c>
      <c r="B734" t="s">
        <v>27</v>
      </c>
      <c r="C734" t="s">
        <v>38</v>
      </c>
      <c r="D734">
        <v>5</v>
      </c>
      <c r="E734">
        <v>29.8</v>
      </c>
      <c r="F734">
        <v>173.6</v>
      </c>
      <c r="G734">
        <v>2</v>
      </c>
      <c r="H734">
        <v>2</v>
      </c>
      <c r="I734" t="s">
        <v>1665</v>
      </c>
      <c r="J734">
        <v>5.96</v>
      </c>
      <c r="K734" t="str">
        <f>_xlfn.XLOOKUP(B734,zones_lookup!A:A,zones_lookup!B:B,"Not found")</f>
        <v>Mr. Bello</v>
      </c>
      <c r="L734">
        <f>_xlfn.XLOOKUP(B734,zones_lookup!A:A,zones_lookup!C:C,"Not found")</f>
        <v>1288000</v>
      </c>
    </row>
    <row r="735" spans="1:12" x14ac:dyDescent="0.3">
      <c r="A735" s="2">
        <v>45747</v>
      </c>
      <c r="B735" t="s">
        <v>108</v>
      </c>
      <c r="C735" t="s">
        <v>109</v>
      </c>
      <c r="D735">
        <v>5</v>
      </c>
      <c r="E735">
        <v>35.6</v>
      </c>
      <c r="F735">
        <v>199.6</v>
      </c>
      <c r="G735">
        <v>1</v>
      </c>
      <c r="H735">
        <v>3</v>
      </c>
      <c r="I735" t="s">
        <v>1662</v>
      </c>
      <c r="J735">
        <v>7.12</v>
      </c>
      <c r="K735" t="str">
        <f>_xlfn.XLOOKUP(B735,zones_lookup!A:A,zones_lookup!B:B,"Not found")</f>
        <v>Mrs. Okafor</v>
      </c>
      <c r="L735">
        <f>_xlfn.XLOOKUP(B735,zones_lookup!A:A,zones_lookup!C:C,"Not found")</f>
        <v>503000</v>
      </c>
    </row>
    <row r="736" spans="1:12" x14ac:dyDescent="0.3">
      <c r="A736" s="2">
        <v>45959</v>
      </c>
      <c r="B736" t="s">
        <v>60</v>
      </c>
      <c r="C736" t="s">
        <v>69</v>
      </c>
      <c r="D736">
        <v>5</v>
      </c>
      <c r="E736">
        <v>25</v>
      </c>
      <c r="F736">
        <v>212.4</v>
      </c>
      <c r="G736">
        <v>1</v>
      </c>
      <c r="H736">
        <v>10</v>
      </c>
      <c r="I736" t="s">
        <v>1669</v>
      </c>
      <c r="J736">
        <v>5</v>
      </c>
      <c r="K736" t="str">
        <f>_xlfn.XLOOKUP(B736,zones_lookup!A:A,zones_lookup!B:B,"Not found")</f>
        <v>Mrs. Eze</v>
      </c>
      <c r="L736">
        <f>_xlfn.XLOOKUP(B736,zones_lookup!A:A,zones_lookup!C:C,"Not found")</f>
        <v>535000</v>
      </c>
    </row>
    <row r="737" spans="1:12" x14ac:dyDescent="0.3">
      <c r="A737" s="2">
        <v>45896</v>
      </c>
      <c r="B737" t="s">
        <v>60</v>
      </c>
      <c r="C737" t="s">
        <v>69</v>
      </c>
      <c r="D737">
        <v>3</v>
      </c>
      <c r="E737">
        <v>12.4</v>
      </c>
      <c r="F737">
        <v>110.3</v>
      </c>
      <c r="G737">
        <v>0</v>
      </c>
      <c r="H737">
        <v>8</v>
      </c>
      <c r="I737" t="s">
        <v>1666</v>
      </c>
      <c r="J737">
        <v>4.1333333333333337</v>
      </c>
      <c r="K737" t="str">
        <f>_xlfn.XLOOKUP(B737,zones_lookup!A:A,zones_lookup!B:B,"Not found")</f>
        <v>Mrs. Eze</v>
      </c>
      <c r="L737">
        <f>_xlfn.XLOOKUP(B737,zones_lookup!A:A,zones_lookup!C:C,"Not found")</f>
        <v>535000</v>
      </c>
    </row>
    <row r="738" spans="1:12" x14ac:dyDescent="0.3">
      <c r="A738" s="2">
        <v>45906</v>
      </c>
      <c r="B738" t="s">
        <v>89</v>
      </c>
      <c r="C738" t="s">
        <v>131</v>
      </c>
      <c r="D738">
        <v>3</v>
      </c>
      <c r="E738">
        <v>16.399999999999999</v>
      </c>
      <c r="F738">
        <v>106.9</v>
      </c>
      <c r="G738">
        <v>2</v>
      </c>
      <c r="H738">
        <v>9</v>
      </c>
      <c r="I738" t="s">
        <v>1670</v>
      </c>
      <c r="J738">
        <v>5.4666666666666659</v>
      </c>
      <c r="K738" t="str">
        <f>_xlfn.XLOOKUP(B738,zones_lookup!A:A,zones_lookup!B:B,"Not found")</f>
        <v>Mr. Salami</v>
      </c>
      <c r="L738">
        <f>_xlfn.XLOOKUP(B738,zones_lookup!A:A,zones_lookup!C:C,"Not found")</f>
        <v>200000</v>
      </c>
    </row>
    <row r="739" spans="1:12" x14ac:dyDescent="0.3">
      <c r="A739" s="2">
        <v>46001</v>
      </c>
      <c r="B739" t="s">
        <v>93</v>
      </c>
      <c r="C739" t="s">
        <v>101</v>
      </c>
      <c r="D739">
        <v>2</v>
      </c>
      <c r="E739">
        <v>9.6999999999999993</v>
      </c>
      <c r="F739">
        <v>81.5</v>
      </c>
      <c r="G739">
        <v>2</v>
      </c>
      <c r="H739">
        <v>12</v>
      </c>
      <c r="I739" t="s">
        <v>1671</v>
      </c>
      <c r="J739">
        <v>4.8499999999999996</v>
      </c>
      <c r="K739" t="str">
        <f>_xlfn.XLOOKUP(B739,zones_lookup!A:A,zones_lookup!B:B,"Not found")</f>
        <v>Mr. Ogunleye</v>
      </c>
      <c r="L739">
        <f>_xlfn.XLOOKUP(B739,zones_lookup!A:A,zones_lookup!C:C,"Not found")</f>
        <v>181000</v>
      </c>
    </row>
    <row r="740" spans="1:12" x14ac:dyDescent="0.3">
      <c r="A740" s="2">
        <v>45888</v>
      </c>
      <c r="B740" t="s">
        <v>27</v>
      </c>
      <c r="C740" t="s">
        <v>28</v>
      </c>
      <c r="D740">
        <v>5</v>
      </c>
      <c r="E740">
        <v>30.5</v>
      </c>
      <c r="F740">
        <v>196.7</v>
      </c>
      <c r="G740">
        <v>3</v>
      </c>
      <c r="H740">
        <v>8</v>
      </c>
      <c r="I740" t="s">
        <v>1666</v>
      </c>
      <c r="J740">
        <v>6.1</v>
      </c>
      <c r="K740" t="str">
        <f>_xlfn.XLOOKUP(B740,zones_lookup!A:A,zones_lookup!B:B,"Not found")</f>
        <v>Mr. Bello</v>
      </c>
      <c r="L740">
        <f>_xlfn.XLOOKUP(B740,zones_lookup!A:A,zones_lookup!C:C,"Not found")</f>
        <v>1288000</v>
      </c>
    </row>
    <row r="741" spans="1:12" x14ac:dyDescent="0.3">
      <c r="A741" s="2">
        <v>45728</v>
      </c>
      <c r="B741" t="s">
        <v>89</v>
      </c>
      <c r="C741" t="s">
        <v>90</v>
      </c>
      <c r="D741">
        <v>6</v>
      </c>
      <c r="E741">
        <v>30.1</v>
      </c>
      <c r="F741">
        <v>242.1</v>
      </c>
      <c r="G741">
        <v>2</v>
      </c>
      <c r="H741">
        <v>3</v>
      </c>
      <c r="I741" t="s">
        <v>1662</v>
      </c>
      <c r="J741">
        <v>5.0166666666666666</v>
      </c>
      <c r="K741" t="str">
        <f>_xlfn.XLOOKUP(B741,zones_lookup!A:A,zones_lookup!B:B,"Not found")</f>
        <v>Mr. Salami</v>
      </c>
      <c r="L741">
        <f>_xlfn.XLOOKUP(B741,zones_lookup!A:A,zones_lookup!C:C,"Not found")</f>
        <v>200000</v>
      </c>
    </row>
    <row r="742" spans="1:12" x14ac:dyDescent="0.3">
      <c r="A742" s="2">
        <v>45908</v>
      </c>
      <c r="B742" t="s">
        <v>27</v>
      </c>
      <c r="C742" t="s">
        <v>28</v>
      </c>
      <c r="D742">
        <v>6</v>
      </c>
      <c r="E742">
        <v>52.4</v>
      </c>
      <c r="G742">
        <v>1</v>
      </c>
      <c r="H742">
        <v>9</v>
      </c>
      <c r="I742" t="s">
        <v>1670</v>
      </c>
      <c r="J742">
        <v>8.7333333333333325</v>
      </c>
      <c r="K742" t="str">
        <f>_xlfn.XLOOKUP(B742,zones_lookup!A:A,zones_lookup!B:B,"Not found")</f>
        <v>Mr. Bello</v>
      </c>
      <c r="L742">
        <f>_xlfn.XLOOKUP(B742,zones_lookup!A:A,zones_lookup!C:C,"Not found")</f>
        <v>1288000</v>
      </c>
    </row>
    <row r="743" spans="1:12" x14ac:dyDescent="0.3">
      <c r="A743" s="2">
        <v>45943</v>
      </c>
      <c r="B743" t="s">
        <v>60</v>
      </c>
      <c r="C743" t="s">
        <v>69</v>
      </c>
      <c r="D743">
        <v>2</v>
      </c>
      <c r="E743">
        <v>8.8000000000000007</v>
      </c>
      <c r="F743">
        <v>100.5</v>
      </c>
      <c r="G743">
        <v>0</v>
      </c>
      <c r="H743">
        <v>10</v>
      </c>
      <c r="I743" t="s">
        <v>1669</v>
      </c>
      <c r="J743">
        <v>4.4000000000000004</v>
      </c>
      <c r="K743" t="str">
        <f>_xlfn.XLOOKUP(B743,zones_lookup!A:A,zones_lookup!B:B,"Not found")</f>
        <v>Mrs. Eze</v>
      </c>
      <c r="L743">
        <f>_xlfn.XLOOKUP(B743,zones_lookup!A:A,zones_lookup!C:C,"Not found")</f>
        <v>535000</v>
      </c>
    </row>
    <row r="744" spans="1:12" x14ac:dyDescent="0.3">
      <c r="A744" s="2">
        <v>45783</v>
      </c>
      <c r="B744" t="s">
        <v>41</v>
      </c>
      <c r="C744" t="s">
        <v>46</v>
      </c>
      <c r="D744">
        <v>4</v>
      </c>
      <c r="E744">
        <v>26.8</v>
      </c>
      <c r="F744">
        <v>145.9</v>
      </c>
      <c r="G744">
        <v>0</v>
      </c>
      <c r="H744">
        <v>5</v>
      </c>
      <c r="I744" t="s">
        <v>1663</v>
      </c>
      <c r="J744">
        <v>6.7</v>
      </c>
      <c r="K744" t="str">
        <f>_xlfn.XLOOKUP(B744,zones_lookup!A:A,zones_lookup!B:B,"Not found")</f>
        <v>Mrs. Adisa</v>
      </c>
      <c r="L744">
        <f>_xlfn.XLOOKUP(B744,zones_lookup!A:A,zones_lookup!C:C,"Not found")</f>
        <v>633000</v>
      </c>
    </row>
    <row r="745" spans="1:12" x14ac:dyDescent="0.3">
      <c r="A745" s="2">
        <v>45978</v>
      </c>
      <c r="B745" t="s">
        <v>41</v>
      </c>
      <c r="C745" t="s">
        <v>42</v>
      </c>
      <c r="D745">
        <v>2</v>
      </c>
      <c r="E745">
        <v>18.100000000000001</v>
      </c>
      <c r="F745">
        <v>79.7</v>
      </c>
      <c r="G745">
        <v>0</v>
      </c>
      <c r="H745">
        <v>11</v>
      </c>
      <c r="I745" t="s">
        <v>1664</v>
      </c>
      <c r="J745">
        <v>9.0500000000000007</v>
      </c>
      <c r="K745" t="str">
        <f>_xlfn.XLOOKUP(B745,zones_lookup!A:A,zones_lookup!B:B,"Not found")</f>
        <v>Mrs. Adisa</v>
      </c>
      <c r="L745">
        <f>_xlfn.XLOOKUP(B745,zones_lookup!A:A,zones_lookup!C:C,"Not found")</f>
        <v>633000</v>
      </c>
    </row>
    <row r="746" spans="1:12" x14ac:dyDescent="0.3">
      <c r="A746" s="2">
        <v>45669</v>
      </c>
      <c r="B746" t="s">
        <v>89</v>
      </c>
      <c r="C746" t="s">
        <v>90</v>
      </c>
      <c r="D746">
        <v>5</v>
      </c>
      <c r="E746">
        <v>27.1</v>
      </c>
      <c r="F746">
        <v>182</v>
      </c>
      <c r="G746">
        <v>1</v>
      </c>
      <c r="H746">
        <v>1</v>
      </c>
      <c r="I746" t="s">
        <v>1660</v>
      </c>
      <c r="J746">
        <v>5.42</v>
      </c>
      <c r="K746" t="str">
        <f>_xlfn.XLOOKUP(B746,zones_lookup!A:A,zones_lookup!B:B,"Not found")</f>
        <v>Mr. Salami</v>
      </c>
      <c r="L746">
        <f>_xlfn.XLOOKUP(B746,zones_lookup!A:A,zones_lookup!C:C,"Not found")</f>
        <v>200000</v>
      </c>
    </row>
    <row r="747" spans="1:12" x14ac:dyDescent="0.3">
      <c r="A747" s="2">
        <v>45724</v>
      </c>
      <c r="B747" t="s">
        <v>76</v>
      </c>
      <c r="C747" t="s">
        <v>77</v>
      </c>
      <c r="D747">
        <v>2</v>
      </c>
      <c r="E747">
        <v>12.6</v>
      </c>
      <c r="F747">
        <v>75.8</v>
      </c>
      <c r="G747">
        <v>1</v>
      </c>
      <c r="H747">
        <v>3</v>
      </c>
      <c r="I747" t="s">
        <v>1662</v>
      </c>
      <c r="J747">
        <v>6.3</v>
      </c>
      <c r="K747" t="str">
        <f>_xlfn.XLOOKUP(B747,zones_lookup!A:A,zones_lookup!B:B,"Not found")</f>
        <v>Mr. Adeyemi</v>
      </c>
      <c r="L747">
        <f>_xlfn.XLOOKUP(B747,zones_lookup!A:A,zones_lookup!C:C,"Not found")</f>
        <v>313000</v>
      </c>
    </row>
    <row r="748" spans="1:12" x14ac:dyDescent="0.3">
      <c r="A748" s="2">
        <v>45667</v>
      </c>
      <c r="B748" t="s">
        <v>108</v>
      </c>
      <c r="C748" t="s">
        <v>208</v>
      </c>
      <c r="D748">
        <v>2</v>
      </c>
      <c r="E748">
        <v>10.7</v>
      </c>
      <c r="F748">
        <v>75.400000000000006</v>
      </c>
      <c r="G748">
        <v>2</v>
      </c>
      <c r="H748">
        <v>1</v>
      </c>
      <c r="I748" t="s">
        <v>1660</v>
      </c>
      <c r="J748">
        <v>5.35</v>
      </c>
      <c r="K748" t="str">
        <f>_xlfn.XLOOKUP(B748,zones_lookup!A:A,zones_lookup!B:B,"Not found")</f>
        <v>Mrs. Okafor</v>
      </c>
      <c r="L748">
        <f>_xlfn.XLOOKUP(B748,zones_lookup!A:A,zones_lookup!C:C,"Not found")</f>
        <v>503000</v>
      </c>
    </row>
    <row r="749" spans="1:12" x14ac:dyDescent="0.3">
      <c r="A749" s="2">
        <v>45730</v>
      </c>
      <c r="B749" t="s">
        <v>76</v>
      </c>
      <c r="C749" t="s">
        <v>80</v>
      </c>
      <c r="D749">
        <v>3</v>
      </c>
      <c r="E749">
        <v>17.2</v>
      </c>
      <c r="F749">
        <v>117.4</v>
      </c>
      <c r="G749">
        <v>1</v>
      </c>
      <c r="H749">
        <v>3</v>
      </c>
      <c r="I749" t="s">
        <v>1662</v>
      </c>
      <c r="J749">
        <v>5.7333333333333334</v>
      </c>
      <c r="K749" t="str">
        <f>_xlfn.XLOOKUP(B749,zones_lookup!A:A,zones_lookup!B:B,"Not found")</f>
        <v>Mr. Adeyemi</v>
      </c>
      <c r="L749">
        <f>_xlfn.XLOOKUP(B749,zones_lookup!A:A,zones_lookup!C:C,"Not found")</f>
        <v>313000</v>
      </c>
    </row>
    <row r="750" spans="1:12" x14ac:dyDescent="0.3">
      <c r="A750" s="2">
        <v>45806</v>
      </c>
      <c r="B750" t="s">
        <v>93</v>
      </c>
      <c r="C750" t="s">
        <v>101</v>
      </c>
      <c r="D750">
        <v>4</v>
      </c>
      <c r="E750">
        <v>12.3</v>
      </c>
      <c r="F750">
        <v>135.9</v>
      </c>
      <c r="G750">
        <v>2</v>
      </c>
      <c r="H750">
        <v>5</v>
      </c>
      <c r="I750" t="s">
        <v>1663</v>
      </c>
      <c r="J750">
        <v>3.0750000000000002</v>
      </c>
      <c r="K750" t="str">
        <f>_xlfn.XLOOKUP(B750,zones_lookup!A:A,zones_lookup!B:B,"Not found")</f>
        <v>Mr. Ogunleye</v>
      </c>
      <c r="L750">
        <f>_xlfn.XLOOKUP(B750,zones_lookup!A:A,zones_lookup!C:C,"Not found")</f>
        <v>181000</v>
      </c>
    </row>
    <row r="751" spans="1:12" x14ac:dyDescent="0.3">
      <c r="A751" s="2">
        <v>45694</v>
      </c>
      <c r="B751" t="s">
        <v>93</v>
      </c>
      <c r="C751" t="s">
        <v>57</v>
      </c>
      <c r="D751">
        <v>2</v>
      </c>
      <c r="E751">
        <v>6.5</v>
      </c>
      <c r="F751">
        <v>52.3</v>
      </c>
      <c r="G751">
        <v>1</v>
      </c>
      <c r="H751">
        <v>2</v>
      </c>
      <c r="I751" t="s">
        <v>1665</v>
      </c>
      <c r="J751">
        <v>3.25</v>
      </c>
      <c r="K751" t="str">
        <f>_xlfn.XLOOKUP(B751,zones_lookup!A:A,zones_lookup!B:B,"Not found")</f>
        <v>Mr. Ogunleye</v>
      </c>
      <c r="L751">
        <f>_xlfn.XLOOKUP(B751,zones_lookup!A:A,zones_lookup!C:C,"Not found")</f>
        <v>181000</v>
      </c>
    </row>
    <row r="752" spans="1:12" x14ac:dyDescent="0.3">
      <c r="A752" s="2">
        <v>45843</v>
      </c>
      <c r="B752" t="s">
        <v>60</v>
      </c>
      <c r="C752" t="s">
        <v>61</v>
      </c>
      <c r="D752">
        <v>5</v>
      </c>
      <c r="E752">
        <v>24.5</v>
      </c>
      <c r="F752">
        <v>241.9</v>
      </c>
      <c r="G752">
        <v>1</v>
      </c>
      <c r="H752">
        <v>7</v>
      </c>
      <c r="I752" t="s">
        <v>1661</v>
      </c>
      <c r="J752">
        <v>4.9000000000000004</v>
      </c>
      <c r="K752" t="str">
        <f>_xlfn.XLOOKUP(B752,zones_lookup!A:A,zones_lookup!B:B,"Not found")</f>
        <v>Mrs. Eze</v>
      </c>
      <c r="L752">
        <f>_xlfn.XLOOKUP(B752,zones_lookup!A:A,zones_lookup!C:C,"Not found")</f>
        <v>535000</v>
      </c>
    </row>
    <row r="753" spans="1:12" x14ac:dyDescent="0.3">
      <c r="A753" s="2">
        <v>45785</v>
      </c>
      <c r="B753" t="s">
        <v>89</v>
      </c>
      <c r="C753" t="s">
        <v>90</v>
      </c>
      <c r="D753">
        <v>3</v>
      </c>
      <c r="E753">
        <v>19.399999999999999</v>
      </c>
      <c r="F753">
        <v>115.1</v>
      </c>
      <c r="G753">
        <v>0</v>
      </c>
      <c r="H753">
        <v>5</v>
      </c>
      <c r="I753" t="s">
        <v>1663</v>
      </c>
      <c r="J753">
        <v>6.4666666666666659</v>
      </c>
      <c r="K753" t="str">
        <f>_xlfn.XLOOKUP(B753,zones_lookup!A:A,zones_lookup!B:B,"Not found")</f>
        <v>Mr. Salami</v>
      </c>
      <c r="L753">
        <f>_xlfn.XLOOKUP(B753,zones_lookup!A:A,zones_lookup!C:C,"Not found")</f>
        <v>200000</v>
      </c>
    </row>
    <row r="754" spans="1:12" x14ac:dyDescent="0.3">
      <c r="A754" s="2">
        <v>45737</v>
      </c>
      <c r="B754" t="s">
        <v>27</v>
      </c>
      <c r="C754" t="s">
        <v>28</v>
      </c>
      <c r="D754">
        <v>5</v>
      </c>
      <c r="E754">
        <v>40.9</v>
      </c>
      <c r="F754">
        <v>173.9</v>
      </c>
      <c r="G754">
        <v>0</v>
      </c>
      <c r="H754">
        <v>3</v>
      </c>
      <c r="I754" t="s">
        <v>1662</v>
      </c>
      <c r="J754">
        <v>8.18</v>
      </c>
      <c r="K754" t="str">
        <f>_xlfn.XLOOKUP(B754,zones_lookup!A:A,zones_lookup!B:B,"Not found")</f>
        <v>Mr. Bello</v>
      </c>
      <c r="L754">
        <f>_xlfn.XLOOKUP(B754,zones_lookup!A:A,zones_lookup!C:C,"Not found")</f>
        <v>1288000</v>
      </c>
    </row>
    <row r="755" spans="1:12" x14ac:dyDescent="0.3">
      <c r="A755" s="2">
        <v>45817</v>
      </c>
      <c r="B755" t="s">
        <v>27</v>
      </c>
      <c r="C755" t="s">
        <v>38</v>
      </c>
      <c r="D755">
        <v>6</v>
      </c>
      <c r="E755">
        <v>41.4</v>
      </c>
      <c r="F755">
        <v>189.7</v>
      </c>
      <c r="G755">
        <v>0</v>
      </c>
      <c r="H755">
        <v>6</v>
      </c>
      <c r="I755" t="s">
        <v>1667</v>
      </c>
      <c r="J755">
        <v>6.8999999999999995</v>
      </c>
      <c r="K755" t="str">
        <f>_xlfn.XLOOKUP(B755,zones_lookup!A:A,zones_lookup!B:B,"Not found")</f>
        <v>Mr. Bello</v>
      </c>
      <c r="L755">
        <f>_xlfn.XLOOKUP(B755,zones_lookup!A:A,zones_lookup!C:C,"Not found")</f>
        <v>1288000</v>
      </c>
    </row>
    <row r="756" spans="1:12" x14ac:dyDescent="0.3">
      <c r="A756" s="2">
        <v>46018</v>
      </c>
      <c r="B756" t="s">
        <v>93</v>
      </c>
      <c r="C756" t="s">
        <v>101</v>
      </c>
      <c r="D756">
        <v>2</v>
      </c>
      <c r="E756">
        <v>5.3</v>
      </c>
      <c r="F756">
        <v>58.8</v>
      </c>
      <c r="G756">
        <v>2</v>
      </c>
      <c r="H756">
        <v>12</v>
      </c>
      <c r="I756" t="s">
        <v>1671</v>
      </c>
      <c r="J756">
        <v>2.65</v>
      </c>
      <c r="K756" t="str">
        <f>_xlfn.XLOOKUP(B756,zones_lookup!A:A,zones_lookup!B:B,"Not found")</f>
        <v>Mr. Ogunleye</v>
      </c>
      <c r="L756">
        <f>_xlfn.XLOOKUP(B756,zones_lookup!A:A,zones_lookup!C:C,"Not found")</f>
        <v>181000</v>
      </c>
    </row>
    <row r="757" spans="1:12" x14ac:dyDescent="0.3">
      <c r="A757" s="2">
        <v>45839</v>
      </c>
      <c r="B757" t="s">
        <v>89</v>
      </c>
      <c r="C757" t="s">
        <v>90</v>
      </c>
      <c r="D757">
        <v>3</v>
      </c>
      <c r="E757">
        <v>15.6</v>
      </c>
      <c r="F757">
        <v>81.099999999999994</v>
      </c>
      <c r="G757">
        <v>1</v>
      </c>
      <c r="H757">
        <v>7</v>
      </c>
      <c r="I757" t="s">
        <v>1661</v>
      </c>
      <c r="J757">
        <v>5.2</v>
      </c>
      <c r="K757" t="str">
        <f>_xlfn.XLOOKUP(B757,zones_lookup!A:A,zones_lookup!B:B,"Not found")</f>
        <v>Mr. Salami</v>
      </c>
      <c r="L757">
        <f>_xlfn.XLOOKUP(B757,zones_lookup!A:A,zones_lookup!C:C,"Not found")</f>
        <v>200000</v>
      </c>
    </row>
    <row r="758" spans="1:12" x14ac:dyDescent="0.3">
      <c r="A758" s="2">
        <v>46001</v>
      </c>
      <c r="B758" t="s">
        <v>60</v>
      </c>
      <c r="C758" t="s">
        <v>64</v>
      </c>
      <c r="D758">
        <v>3</v>
      </c>
      <c r="E758">
        <v>16</v>
      </c>
      <c r="F758">
        <v>112.3</v>
      </c>
      <c r="G758">
        <v>4</v>
      </c>
      <c r="H758">
        <v>12</v>
      </c>
      <c r="I758" t="s">
        <v>1671</v>
      </c>
      <c r="J758">
        <v>5.333333333333333</v>
      </c>
      <c r="K758" t="str">
        <f>_xlfn.XLOOKUP(B758,zones_lookup!A:A,zones_lookup!B:B,"Not found")</f>
        <v>Mrs. Eze</v>
      </c>
      <c r="L758">
        <f>_xlfn.XLOOKUP(B758,zones_lookup!A:A,zones_lookup!C:C,"Not found")</f>
        <v>535000</v>
      </c>
    </row>
    <row r="759" spans="1:12" x14ac:dyDescent="0.3">
      <c r="A759" s="2">
        <v>45884</v>
      </c>
      <c r="B759" t="s">
        <v>60</v>
      </c>
      <c r="C759" t="s">
        <v>69</v>
      </c>
      <c r="D759">
        <v>4</v>
      </c>
      <c r="E759">
        <v>16.8</v>
      </c>
      <c r="F759">
        <v>186.4</v>
      </c>
      <c r="G759">
        <v>4</v>
      </c>
      <c r="H759">
        <v>8</v>
      </c>
      <c r="I759" t="s">
        <v>1666</v>
      </c>
      <c r="J759">
        <v>4.2</v>
      </c>
      <c r="K759" t="str">
        <f>_xlfn.XLOOKUP(B759,zones_lookup!A:A,zones_lookup!B:B,"Not found")</f>
        <v>Mrs. Eze</v>
      </c>
      <c r="L759">
        <f>_xlfn.XLOOKUP(B759,zones_lookup!A:A,zones_lookup!C:C,"Not found")</f>
        <v>535000</v>
      </c>
    </row>
    <row r="760" spans="1:12" x14ac:dyDescent="0.3">
      <c r="A760" s="2">
        <v>45676</v>
      </c>
      <c r="B760" t="s">
        <v>89</v>
      </c>
      <c r="C760" t="s">
        <v>90</v>
      </c>
      <c r="D760">
        <v>6</v>
      </c>
      <c r="E760">
        <v>25</v>
      </c>
      <c r="F760">
        <v>224.5</v>
      </c>
      <c r="G760">
        <v>2</v>
      </c>
      <c r="H760">
        <v>1</v>
      </c>
      <c r="I760" t="s">
        <v>1660</v>
      </c>
      <c r="J760">
        <v>4.166666666666667</v>
      </c>
      <c r="K760" t="str">
        <f>_xlfn.XLOOKUP(B760,zones_lookup!A:A,zones_lookup!B:B,"Not found")</f>
        <v>Mr. Salami</v>
      </c>
      <c r="L760">
        <f>_xlfn.XLOOKUP(B760,zones_lookup!A:A,zones_lookup!C:C,"Not found")</f>
        <v>200000</v>
      </c>
    </row>
    <row r="761" spans="1:12" x14ac:dyDescent="0.3">
      <c r="A761" s="2">
        <v>45867</v>
      </c>
      <c r="B761" t="s">
        <v>108</v>
      </c>
      <c r="C761" t="s">
        <v>109</v>
      </c>
      <c r="D761">
        <v>6</v>
      </c>
      <c r="E761">
        <v>32.700000000000003</v>
      </c>
      <c r="F761">
        <v>215.7</v>
      </c>
      <c r="G761">
        <v>0</v>
      </c>
      <c r="H761">
        <v>7</v>
      </c>
      <c r="I761" t="s">
        <v>1661</v>
      </c>
      <c r="J761">
        <v>5.45</v>
      </c>
      <c r="K761" t="str">
        <f>_xlfn.XLOOKUP(B761,zones_lookup!A:A,zones_lookup!B:B,"Not found")</f>
        <v>Mrs. Okafor</v>
      </c>
      <c r="L761">
        <f>_xlfn.XLOOKUP(B761,zones_lookup!A:A,zones_lookup!C:C,"Not found")</f>
        <v>503000</v>
      </c>
    </row>
    <row r="762" spans="1:12" x14ac:dyDescent="0.3">
      <c r="A762" s="2">
        <v>45856</v>
      </c>
      <c r="B762" t="s">
        <v>76</v>
      </c>
      <c r="C762" t="s">
        <v>77</v>
      </c>
      <c r="D762">
        <v>6</v>
      </c>
      <c r="E762">
        <v>36.5</v>
      </c>
      <c r="F762">
        <v>285.8</v>
      </c>
      <c r="G762">
        <v>0</v>
      </c>
      <c r="H762">
        <v>7</v>
      </c>
      <c r="I762" t="s">
        <v>1661</v>
      </c>
      <c r="J762">
        <v>6.083333333333333</v>
      </c>
      <c r="K762" t="str">
        <f>_xlfn.XLOOKUP(B762,zones_lookup!A:A,zones_lookup!B:B,"Not found")</f>
        <v>Mr. Adeyemi</v>
      </c>
      <c r="L762">
        <f>_xlfn.XLOOKUP(B762,zones_lookup!A:A,zones_lookup!C:C,"Not found")</f>
        <v>313000</v>
      </c>
    </row>
    <row r="763" spans="1:12" x14ac:dyDescent="0.3">
      <c r="A763" s="2">
        <v>45802</v>
      </c>
      <c r="B763" t="s">
        <v>108</v>
      </c>
      <c r="C763" t="s">
        <v>169</v>
      </c>
      <c r="D763">
        <v>2</v>
      </c>
      <c r="E763">
        <v>12.1</v>
      </c>
      <c r="F763">
        <v>74</v>
      </c>
      <c r="G763">
        <v>1</v>
      </c>
      <c r="H763">
        <v>5</v>
      </c>
      <c r="I763" t="s">
        <v>1663</v>
      </c>
      <c r="J763">
        <v>6.05</v>
      </c>
      <c r="K763" t="str">
        <f>_xlfn.XLOOKUP(B763,zones_lookup!A:A,zones_lookup!B:B,"Not found")</f>
        <v>Mrs. Okafor</v>
      </c>
      <c r="L763">
        <f>_xlfn.XLOOKUP(B763,zones_lookup!A:A,zones_lookup!C:C,"Not found")</f>
        <v>503000</v>
      </c>
    </row>
    <row r="764" spans="1:12" x14ac:dyDescent="0.3">
      <c r="A764" s="2">
        <v>46002</v>
      </c>
      <c r="B764" t="s">
        <v>49</v>
      </c>
      <c r="C764" t="s">
        <v>50</v>
      </c>
      <c r="D764">
        <v>3</v>
      </c>
      <c r="E764">
        <v>13.4</v>
      </c>
      <c r="F764">
        <v>131.80000000000001</v>
      </c>
      <c r="G764">
        <v>2</v>
      </c>
      <c r="H764">
        <v>12</v>
      </c>
      <c r="I764" t="s">
        <v>1671</v>
      </c>
      <c r="J764">
        <v>4.4666666666666668</v>
      </c>
      <c r="K764" t="str">
        <f>_xlfn.XLOOKUP(B764,zones_lookup!A:A,zones_lookup!B:B,"Not found")</f>
        <v>Mrs. Johnson</v>
      </c>
      <c r="L764">
        <f>_xlfn.XLOOKUP(B764,zones_lookup!A:A,zones_lookup!C:C,"Not found")</f>
        <v>241000</v>
      </c>
    </row>
    <row r="765" spans="1:12" x14ac:dyDescent="0.3">
      <c r="A765" s="2">
        <v>45771</v>
      </c>
      <c r="B765" t="s">
        <v>93</v>
      </c>
      <c r="C765" t="s">
        <v>57</v>
      </c>
      <c r="D765">
        <v>6</v>
      </c>
      <c r="E765">
        <v>19.100000000000001</v>
      </c>
      <c r="F765">
        <v>244.9</v>
      </c>
      <c r="G765">
        <v>1</v>
      </c>
      <c r="H765">
        <v>4</v>
      </c>
      <c r="I765" t="s">
        <v>1668</v>
      </c>
      <c r="J765">
        <v>3.1833333333333336</v>
      </c>
      <c r="K765" t="str">
        <f>_xlfn.XLOOKUP(B765,zones_lookup!A:A,zones_lookup!B:B,"Not found")</f>
        <v>Mr. Ogunleye</v>
      </c>
      <c r="L765">
        <f>_xlfn.XLOOKUP(B765,zones_lookup!A:A,zones_lookup!C:C,"Not found")</f>
        <v>181000</v>
      </c>
    </row>
    <row r="766" spans="1:12" x14ac:dyDescent="0.3">
      <c r="A766" s="2">
        <v>45879</v>
      </c>
      <c r="B766" t="s">
        <v>93</v>
      </c>
      <c r="C766" t="s">
        <v>101</v>
      </c>
      <c r="D766">
        <v>5</v>
      </c>
      <c r="E766">
        <v>13.7</v>
      </c>
      <c r="F766">
        <v>169.9</v>
      </c>
      <c r="G766">
        <v>1</v>
      </c>
      <c r="H766">
        <v>8</v>
      </c>
      <c r="I766" t="s">
        <v>1666</v>
      </c>
      <c r="J766">
        <v>2.7399999999999998</v>
      </c>
      <c r="K766" t="str">
        <f>_xlfn.XLOOKUP(B766,zones_lookup!A:A,zones_lookup!B:B,"Not found")</f>
        <v>Mr. Ogunleye</v>
      </c>
      <c r="L766">
        <f>_xlfn.XLOOKUP(B766,zones_lookup!A:A,zones_lookup!C:C,"Not found")</f>
        <v>181000</v>
      </c>
    </row>
    <row r="767" spans="1:12" x14ac:dyDescent="0.3">
      <c r="A767" s="2">
        <v>45846</v>
      </c>
      <c r="B767" t="s">
        <v>60</v>
      </c>
      <c r="C767" t="s">
        <v>69</v>
      </c>
      <c r="D767">
        <v>5</v>
      </c>
      <c r="E767">
        <v>16.5</v>
      </c>
      <c r="F767">
        <v>219.6</v>
      </c>
      <c r="G767">
        <v>0</v>
      </c>
      <c r="H767">
        <v>7</v>
      </c>
      <c r="I767" t="s">
        <v>1661</v>
      </c>
      <c r="J767">
        <v>3.3</v>
      </c>
      <c r="K767" t="str">
        <f>_xlfn.XLOOKUP(B767,zones_lookup!A:A,zones_lookup!B:B,"Not found")</f>
        <v>Mrs. Eze</v>
      </c>
      <c r="L767">
        <f>_xlfn.XLOOKUP(B767,zones_lookup!A:A,zones_lookup!C:C,"Not found")</f>
        <v>535000</v>
      </c>
    </row>
    <row r="768" spans="1:12" x14ac:dyDescent="0.3">
      <c r="A768" s="2">
        <v>45731</v>
      </c>
      <c r="B768" t="s">
        <v>93</v>
      </c>
      <c r="C768" t="s">
        <v>101</v>
      </c>
      <c r="D768">
        <v>6</v>
      </c>
      <c r="E768">
        <v>22.6</v>
      </c>
      <c r="F768">
        <v>286.5</v>
      </c>
      <c r="G768">
        <v>2</v>
      </c>
      <c r="H768">
        <v>3</v>
      </c>
      <c r="I768" t="s">
        <v>1662</v>
      </c>
      <c r="J768">
        <v>3.7666666666666671</v>
      </c>
      <c r="K768" t="str">
        <f>_xlfn.XLOOKUP(B768,zones_lookup!A:A,zones_lookup!B:B,"Not found")</f>
        <v>Mr. Ogunleye</v>
      </c>
      <c r="L768">
        <f>_xlfn.XLOOKUP(B768,zones_lookup!A:A,zones_lookup!C:C,"Not found")</f>
        <v>181000</v>
      </c>
    </row>
    <row r="769" spans="1:12" x14ac:dyDescent="0.3">
      <c r="A769" s="2">
        <v>45701</v>
      </c>
      <c r="B769" t="s">
        <v>60</v>
      </c>
      <c r="C769" t="s">
        <v>69</v>
      </c>
      <c r="D769">
        <v>2</v>
      </c>
      <c r="E769">
        <v>8.6</v>
      </c>
      <c r="F769">
        <v>80.900000000000006</v>
      </c>
      <c r="G769">
        <v>3</v>
      </c>
      <c r="H769">
        <v>2</v>
      </c>
      <c r="I769" t="s">
        <v>1665</v>
      </c>
      <c r="J769">
        <v>4.3</v>
      </c>
      <c r="K769" t="str">
        <f>_xlfn.XLOOKUP(B769,zones_lookup!A:A,zones_lookup!B:B,"Not found")</f>
        <v>Mrs. Eze</v>
      </c>
      <c r="L769">
        <f>_xlfn.XLOOKUP(B769,zones_lookup!A:A,zones_lookup!C:C,"Not found")</f>
        <v>535000</v>
      </c>
    </row>
    <row r="770" spans="1:12" x14ac:dyDescent="0.3">
      <c r="A770" s="2">
        <v>45790</v>
      </c>
      <c r="B770" t="s">
        <v>60</v>
      </c>
      <c r="C770" t="s">
        <v>69</v>
      </c>
      <c r="D770">
        <v>2</v>
      </c>
      <c r="E770">
        <v>7.9</v>
      </c>
      <c r="F770">
        <v>69.8</v>
      </c>
      <c r="G770">
        <v>4</v>
      </c>
      <c r="H770">
        <v>5</v>
      </c>
      <c r="I770" t="s">
        <v>1663</v>
      </c>
      <c r="J770">
        <v>3.95</v>
      </c>
      <c r="K770" t="str">
        <f>_xlfn.XLOOKUP(B770,zones_lookup!A:A,zones_lookup!B:B,"Not found")</f>
        <v>Mrs. Eze</v>
      </c>
      <c r="L770">
        <f>_xlfn.XLOOKUP(B770,zones_lookup!A:A,zones_lookup!C:C,"Not found")</f>
        <v>535000</v>
      </c>
    </row>
    <row r="771" spans="1:12" x14ac:dyDescent="0.3">
      <c r="A771" s="2">
        <v>45658</v>
      </c>
      <c r="B771" t="s">
        <v>60</v>
      </c>
      <c r="C771" t="s">
        <v>61</v>
      </c>
      <c r="D771">
        <v>5</v>
      </c>
      <c r="E771">
        <v>23.1</v>
      </c>
      <c r="F771">
        <v>165.5</v>
      </c>
      <c r="G771">
        <v>3</v>
      </c>
      <c r="H771">
        <v>1</v>
      </c>
      <c r="I771" t="s">
        <v>1660</v>
      </c>
      <c r="J771">
        <v>4.62</v>
      </c>
      <c r="K771" t="str">
        <f>_xlfn.XLOOKUP(B771,zones_lookup!A:A,zones_lookup!B:B,"Not found")</f>
        <v>Mrs. Eze</v>
      </c>
      <c r="L771">
        <f>_xlfn.XLOOKUP(B771,zones_lookup!A:A,zones_lookup!C:C,"Not found")</f>
        <v>535000</v>
      </c>
    </row>
    <row r="772" spans="1:12" x14ac:dyDescent="0.3">
      <c r="A772" s="2">
        <v>45969</v>
      </c>
      <c r="B772" t="s">
        <v>89</v>
      </c>
      <c r="C772" t="s">
        <v>131</v>
      </c>
      <c r="D772">
        <v>5</v>
      </c>
      <c r="E772">
        <v>28.7</v>
      </c>
      <c r="F772">
        <v>199.2</v>
      </c>
      <c r="G772">
        <v>2</v>
      </c>
      <c r="H772">
        <v>11</v>
      </c>
      <c r="I772" t="s">
        <v>1664</v>
      </c>
      <c r="J772">
        <v>5.74</v>
      </c>
      <c r="K772" t="str">
        <f>_xlfn.XLOOKUP(B772,zones_lookup!A:A,zones_lookup!B:B,"Not found")</f>
        <v>Mr. Salami</v>
      </c>
      <c r="L772">
        <f>_xlfn.XLOOKUP(B772,zones_lookup!A:A,zones_lookup!C:C,"Not found")</f>
        <v>200000</v>
      </c>
    </row>
    <row r="773" spans="1:12" x14ac:dyDescent="0.3">
      <c r="A773" s="2">
        <v>45748</v>
      </c>
      <c r="B773" t="s">
        <v>60</v>
      </c>
      <c r="C773" t="s">
        <v>61</v>
      </c>
      <c r="D773">
        <v>3</v>
      </c>
      <c r="E773">
        <v>12.6</v>
      </c>
      <c r="F773">
        <v>105.6</v>
      </c>
      <c r="G773">
        <v>3</v>
      </c>
      <c r="H773">
        <v>4</v>
      </c>
      <c r="I773" t="s">
        <v>1668</v>
      </c>
      <c r="J773">
        <v>4.2</v>
      </c>
      <c r="K773" t="str">
        <f>_xlfn.XLOOKUP(B773,zones_lookup!A:A,zones_lookup!B:B,"Not found")</f>
        <v>Mrs. Eze</v>
      </c>
      <c r="L773">
        <f>_xlfn.XLOOKUP(B773,zones_lookup!A:A,zones_lookup!C:C,"Not found")</f>
        <v>535000</v>
      </c>
    </row>
    <row r="774" spans="1:12" x14ac:dyDescent="0.3">
      <c r="A774" s="2">
        <v>45898</v>
      </c>
      <c r="B774" t="s">
        <v>60</v>
      </c>
      <c r="C774" t="s">
        <v>61</v>
      </c>
      <c r="D774">
        <v>4</v>
      </c>
      <c r="E774">
        <v>16</v>
      </c>
      <c r="F774">
        <v>131</v>
      </c>
      <c r="G774">
        <v>0</v>
      </c>
      <c r="H774">
        <v>8</v>
      </c>
      <c r="I774" t="s">
        <v>1666</v>
      </c>
      <c r="J774">
        <v>4</v>
      </c>
      <c r="K774" t="str">
        <f>_xlfn.XLOOKUP(B774,zones_lookup!A:A,zones_lookup!B:B,"Not found")</f>
        <v>Mrs. Eze</v>
      </c>
      <c r="L774">
        <f>_xlfn.XLOOKUP(B774,zones_lookup!A:A,zones_lookup!C:C,"Not found")</f>
        <v>535000</v>
      </c>
    </row>
    <row r="775" spans="1:12" x14ac:dyDescent="0.3">
      <c r="A775" s="2">
        <v>46013</v>
      </c>
      <c r="B775" t="s">
        <v>60</v>
      </c>
      <c r="C775" t="s">
        <v>64</v>
      </c>
      <c r="D775">
        <v>4</v>
      </c>
      <c r="E775">
        <v>18.8</v>
      </c>
      <c r="F775">
        <v>161.9</v>
      </c>
      <c r="G775">
        <v>2</v>
      </c>
      <c r="H775">
        <v>12</v>
      </c>
      <c r="I775" t="s">
        <v>1671</v>
      </c>
      <c r="J775">
        <v>4.7</v>
      </c>
      <c r="K775" t="str">
        <f>_xlfn.XLOOKUP(B775,zones_lookup!A:A,zones_lookup!B:B,"Not found")</f>
        <v>Mrs. Eze</v>
      </c>
      <c r="L775">
        <f>_xlfn.XLOOKUP(B775,zones_lookup!A:A,zones_lookup!C:C,"Not found")</f>
        <v>535000</v>
      </c>
    </row>
    <row r="776" spans="1:12" x14ac:dyDescent="0.3">
      <c r="A776" s="2">
        <v>46021</v>
      </c>
      <c r="B776" t="s">
        <v>60</v>
      </c>
      <c r="C776" t="s">
        <v>64</v>
      </c>
      <c r="D776">
        <v>5</v>
      </c>
      <c r="E776">
        <v>28.5</v>
      </c>
      <c r="F776">
        <v>204.9</v>
      </c>
      <c r="G776">
        <v>5</v>
      </c>
      <c r="H776">
        <v>12</v>
      </c>
      <c r="I776" t="s">
        <v>1671</v>
      </c>
      <c r="J776">
        <v>5.7</v>
      </c>
      <c r="K776" t="str">
        <f>_xlfn.XLOOKUP(B776,zones_lookup!A:A,zones_lookup!B:B,"Not found")</f>
        <v>Mrs. Eze</v>
      </c>
      <c r="L776">
        <f>_xlfn.XLOOKUP(B776,zones_lookup!A:A,zones_lookup!C:C,"Not found")</f>
        <v>535000</v>
      </c>
    </row>
    <row r="777" spans="1:12" x14ac:dyDescent="0.3">
      <c r="A777" s="2">
        <v>45822</v>
      </c>
      <c r="B777" t="s">
        <v>76</v>
      </c>
      <c r="C777" t="s">
        <v>84</v>
      </c>
      <c r="D777">
        <v>3</v>
      </c>
      <c r="E777">
        <v>19.100000000000001</v>
      </c>
      <c r="F777">
        <v>97.3</v>
      </c>
      <c r="G777">
        <v>1</v>
      </c>
      <c r="H777">
        <v>6</v>
      </c>
      <c r="I777" t="s">
        <v>1667</v>
      </c>
      <c r="J777">
        <v>6.3666666666666671</v>
      </c>
      <c r="K777" t="str">
        <f>_xlfn.XLOOKUP(B777,zones_lookup!A:A,zones_lookup!B:B,"Not found")</f>
        <v>Mr. Adeyemi</v>
      </c>
      <c r="L777">
        <f>_xlfn.XLOOKUP(B777,zones_lookup!A:A,zones_lookup!C:C,"Not found")</f>
        <v>313000</v>
      </c>
    </row>
    <row r="778" spans="1:12" x14ac:dyDescent="0.3">
      <c r="A778" s="2">
        <v>45674</v>
      </c>
      <c r="B778" t="s">
        <v>76</v>
      </c>
      <c r="C778" t="s">
        <v>77</v>
      </c>
      <c r="D778">
        <v>6</v>
      </c>
      <c r="E778">
        <v>41.6</v>
      </c>
      <c r="G778">
        <v>1</v>
      </c>
      <c r="H778">
        <v>1</v>
      </c>
      <c r="I778" t="s">
        <v>1660</v>
      </c>
      <c r="J778">
        <v>6.9333333333333336</v>
      </c>
      <c r="K778" t="str">
        <f>_xlfn.XLOOKUP(B778,zones_lookup!A:A,zones_lookup!B:B,"Not found")</f>
        <v>Mr. Adeyemi</v>
      </c>
      <c r="L778">
        <f>_xlfn.XLOOKUP(B778,zones_lookup!A:A,zones_lookup!C:C,"Not found")</f>
        <v>313000</v>
      </c>
    </row>
    <row r="779" spans="1:12" x14ac:dyDescent="0.3">
      <c r="A779" s="2">
        <v>45907</v>
      </c>
      <c r="B779" t="s">
        <v>108</v>
      </c>
      <c r="C779" t="s">
        <v>109</v>
      </c>
      <c r="D779">
        <v>5</v>
      </c>
      <c r="E779">
        <v>32.4</v>
      </c>
      <c r="F779">
        <v>191.7</v>
      </c>
      <c r="G779">
        <v>3</v>
      </c>
      <c r="H779">
        <v>9</v>
      </c>
      <c r="I779" t="s">
        <v>1670</v>
      </c>
      <c r="J779">
        <v>6.4799999999999995</v>
      </c>
      <c r="K779" t="str">
        <f>_xlfn.XLOOKUP(B779,zones_lookup!A:A,zones_lookup!B:B,"Not found")</f>
        <v>Mrs. Okafor</v>
      </c>
      <c r="L779">
        <f>_xlfn.XLOOKUP(B779,zones_lookup!A:A,zones_lookup!C:C,"Not found")</f>
        <v>503000</v>
      </c>
    </row>
    <row r="780" spans="1:12" x14ac:dyDescent="0.3">
      <c r="A780" s="2">
        <v>46014</v>
      </c>
      <c r="B780" t="s">
        <v>41</v>
      </c>
      <c r="C780" t="s">
        <v>73</v>
      </c>
      <c r="D780">
        <v>4</v>
      </c>
      <c r="E780">
        <v>33.200000000000003</v>
      </c>
      <c r="F780">
        <v>161.69999999999999</v>
      </c>
      <c r="G780">
        <v>2</v>
      </c>
      <c r="H780">
        <v>12</v>
      </c>
      <c r="I780" t="s">
        <v>1671</v>
      </c>
      <c r="J780">
        <v>8.3000000000000007</v>
      </c>
      <c r="K780" t="str">
        <f>_xlfn.XLOOKUP(B780,zones_lookup!A:A,zones_lookup!B:B,"Not found")</f>
        <v>Mrs. Adisa</v>
      </c>
      <c r="L780">
        <f>_xlfn.XLOOKUP(B780,zones_lookup!A:A,zones_lookup!C:C,"Not found")</f>
        <v>633000</v>
      </c>
    </row>
    <row r="781" spans="1:12" x14ac:dyDescent="0.3">
      <c r="A781" s="2">
        <v>45727</v>
      </c>
      <c r="B781" t="s">
        <v>108</v>
      </c>
      <c r="C781" t="s">
        <v>109</v>
      </c>
      <c r="D781">
        <v>3</v>
      </c>
      <c r="E781">
        <v>20.3</v>
      </c>
      <c r="F781">
        <v>102.6</v>
      </c>
      <c r="G781">
        <v>1</v>
      </c>
      <c r="H781">
        <v>3</v>
      </c>
      <c r="I781" t="s">
        <v>1662</v>
      </c>
      <c r="J781">
        <v>6.7666666666666666</v>
      </c>
      <c r="K781" t="str">
        <f>_xlfn.XLOOKUP(B781,zones_lookup!A:A,zones_lookup!B:B,"Not found")</f>
        <v>Mrs. Okafor</v>
      </c>
      <c r="L781">
        <f>_xlfn.XLOOKUP(B781,zones_lookup!A:A,zones_lookup!C:C,"Not found")</f>
        <v>503000</v>
      </c>
    </row>
    <row r="782" spans="1:12" x14ac:dyDescent="0.3">
      <c r="A782" s="2">
        <v>45677</v>
      </c>
      <c r="B782" t="s">
        <v>89</v>
      </c>
      <c r="C782" t="s">
        <v>131</v>
      </c>
      <c r="D782">
        <v>4</v>
      </c>
      <c r="E782">
        <v>18.8</v>
      </c>
      <c r="F782">
        <v>119.4</v>
      </c>
      <c r="G782">
        <v>1</v>
      </c>
      <c r="H782">
        <v>1</v>
      </c>
      <c r="I782" t="s">
        <v>1660</v>
      </c>
      <c r="J782">
        <v>4.7</v>
      </c>
      <c r="K782" t="str">
        <f>_xlfn.XLOOKUP(B782,zones_lookup!A:A,zones_lookup!B:B,"Not found")</f>
        <v>Mr. Salami</v>
      </c>
      <c r="L782">
        <f>_xlfn.XLOOKUP(B782,zones_lookup!A:A,zones_lookup!C:C,"Not found")</f>
        <v>200000</v>
      </c>
    </row>
    <row r="783" spans="1:12" x14ac:dyDescent="0.3">
      <c r="A783" s="2">
        <v>46007</v>
      </c>
      <c r="B783" t="s">
        <v>76</v>
      </c>
      <c r="C783" t="s">
        <v>77</v>
      </c>
      <c r="D783">
        <v>5</v>
      </c>
      <c r="E783">
        <v>43.8</v>
      </c>
      <c r="F783">
        <v>202.8</v>
      </c>
      <c r="G783">
        <v>0</v>
      </c>
      <c r="H783">
        <v>12</v>
      </c>
      <c r="I783" t="s">
        <v>1671</v>
      </c>
      <c r="J783">
        <v>8.76</v>
      </c>
      <c r="K783" t="str">
        <f>_xlfn.XLOOKUP(B783,zones_lookup!A:A,zones_lookup!B:B,"Not found")</f>
        <v>Mr. Adeyemi</v>
      </c>
      <c r="L783">
        <f>_xlfn.XLOOKUP(B783,zones_lookup!A:A,zones_lookup!C:C,"Not found")</f>
        <v>313000</v>
      </c>
    </row>
    <row r="784" spans="1:12" x14ac:dyDescent="0.3">
      <c r="A784" s="2">
        <v>45689</v>
      </c>
      <c r="B784" t="s">
        <v>60</v>
      </c>
      <c r="C784" t="s">
        <v>64</v>
      </c>
      <c r="D784">
        <v>6</v>
      </c>
      <c r="E784">
        <v>20.8</v>
      </c>
      <c r="G784">
        <v>3</v>
      </c>
      <c r="H784">
        <v>2</v>
      </c>
      <c r="I784" t="s">
        <v>1665</v>
      </c>
      <c r="J784">
        <v>3.4666666666666668</v>
      </c>
      <c r="K784" t="str">
        <f>_xlfn.XLOOKUP(B784,zones_lookup!A:A,zones_lookup!B:B,"Not found")</f>
        <v>Mrs. Eze</v>
      </c>
      <c r="L784">
        <f>_xlfn.XLOOKUP(B784,zones_lookup!A:A,zones_lookup!C:C,"Not found")</f>
        <v>535000</v>
      </c>
    </row>
    <row r="785" spans="1:12" x14ac:dyDescent="0.3">
      <c r="A785" s="2">
        <v>46008</v>
      </c>
      <c r="B785" t="s">
        <v>76</v>
      </c>
      <c r="C785" t="s">
        <v>77</v>
      </c>
      <c r="D785">
        <v>5</v>
      </c>
      <c r="E785">
        <v>41.7</v>
      </c>
      <c r="F785">
        <v>204.3</v>
      </c>
      <c r="G785">
        <v>1</v>
      </c>
      <c r="H785">
        <v>12</v>
      </c>
      <c r="I785" t="s">
        <v>1671</v>
      </c>
      <c r="J785">
        <v>8.34</v>
      </c>
      <c r="K785" t="str">
        <f>_xlfn.XLOOKUP(B785,zones_lookup!A:A,zones_lookup!B:B,"Not found")</f>
        <v>Mr. Adeyemi</v>
      </c>
      <c r="L785">
        <f>_xlfn.XLOOKUP(B785,zones_lookup!A:A,zones_lookup!C:C,"Not found")</f>
        <v>313000</v>
      </c>
    </row>
    <row r="786" spans="1:12" x14ac:dyDescent="0.3">
      <c r="A786" s="2">
        <v>45672</v>
      </c>
      <c r="B786" t="s">
        <v>108</v>
      </c>
      <c r="C786" t="s">
        <v>208</v>
      </c>
      <c r="D786">
        <v>4</v>
      </c>
      <c r="E786">
        <v>21</v>
      </c>
      <c r="F786">
        <v>168.8</v>
      </c>
      <c r="G786">
        <v>0</v>
      </c>
      <c r="H786">
        <v>1</v>
      </c>
      <c r="I786" t="s">
        <v>1660</v>
      </c>
      <c r="J786">
        <v>5.25</v>
      </c>
      <c r="K786" t="str">
        <f>_xlfn.XLOOKUP(B786,zones_lookup!A:A,zones_lookup!B:B,"Not found")</f>
        <v>Mrs. Okafor</v>
      </c>
      <c r="L786">
        <f>_xlfn.XLOOKUP(B786,zones_lookup!A:A,zones_lookup!C:C,"Not found")</f>
        <v>503000</v>
      </c>
    </row>
    <row r="787" spans="1:12" x14ac:dyDescent="0.3">
      <c r="A787" s="2">
        <v>46012</v>
      </c>
      <c r="B787" t="s">
        <v>108</v>
      </c>
      <c r="C787" t="s">
        <v>208</v>
      </c>
      <c r="D787">
        <v>2</v>
      </c>
      <c r="E787">
        <v>13</v>
      </c>
      <c r="F787">
        <v>85.4</v>
      </c>
      <c r="G787">
        <v>0</v>
      </c>
      <c r="H787">
        <v>12</v>
      </c>
      <c r="I787" t="s">
        <v>1671</v>
      </c>
      <c r="J787">
        <v>6.5</v>
      </c>
      <c r="K787" t="str">
        <f>_xlfn.XLOOKUP(B787,zones_lookup!A:A,zones_lookup!B:B,"Not found")</f>
        <v>Mrs. Okafor</v>
      </c>
      <c r="L787">
        <f>_xlfn.XLOOKUP(B787,zones_lookup!A:A,zones_lookup!C:C,"Not found")</f>
        <v>503000</v>
      </c>
    </row>
    <row r="788" spans="1:12" x14ac:dyDescent="0.3">
      <c r="A788" s="2">
        <v>45851</v>
      </c>
      <c r="B788" t="s">
        <v>89</v>
      </c>
      <c r="C788" t="s">
        <v>90</v>
      </c>
      <c r="D788">
        <v>4</v>
      </c>
      <c r="E788">
        <v>26.9</v>
      </c>
      <c r="F788">
        <v>117.2</v>
      </c>
      <c r="G788">
        <v>0</v>
      </c>
      <c r="H788">
        <v>7</v>
      </c>
      <c r="I788" t="s">
        <v>1661</v>
      </c>
      <c r="J788">
        <v>6.7249999999999996</v>
      </c>
      <c r="K788" t="str">
        <f>_xlfn.XLOOKUP(B788,zones_lookup!A:A,zones_lookup!B:B,"Not found")</f>
        <v>Mr. Salami</v>
      </c>
      <c r="L788">
        <f>_xlfn.XLOOKUP(B788,zones_lookup!A:A,zones_lookup!C:C,"Not found")</f>
        <v>200000</v>
      </c>
    </row>
    <row r="789" spans="1:12" x14ac:dyDescent="0.3">
      <c r="A789" s="2">
        <v>45753</v>
      </c>
      <c r="B789" t="s">
        <v>60</v>
      </c>
      <c r="C789" t="s">
        <v>64</v>
      </c>
      <c r="D789">
        <v>4</v>
      </c>
      <c r="E789">
        <v>17</v>
      </c>
      <c r="F789">
        <v>174.3</v>
      </c>
      <c r="G789">
        <v>4</v>
      </c>
      <c r="H789">
        <v>4</v>
      </c>
      <c r="I789" t="s">
        <v>1668</v>
      </c>
      <c r="J789">
        <v>4.25</v>
      </c>
      <c r="K789" t="str">
        <f>_xlfn.XLOOKUP(B789,zones_lookup!A:A,zones_lookup!B:B,"Not found")</f>
        <v>Mrs. Eze</v>
      </c>
      <c r="L789">
        <f>_xlfn.XLOOKUP(B789,zones_lookup!A:A,zones_lookup!C:C,"Not found")</f>
        <v>535000</v>
      </c>
    </row>
    <row r="790" spans="1:12" x14ac:dyDescent="0.3">
      <c r="A790" s="2">
        <v>45968</v>
      </c>
      <c r="B790" t="s">
        <v>93</v>
      </c>
      <c r="C790" t="s">
        <v>101</v>
      </c>
      <c r="D790">
        <v>3</v>
      </c>
      <c r="E790">
        <v>14.4</v>
      </c>
      <c r="F790">
        <v>116.7</v>
      </c>
      <c r="G790">
        <v>3</v>
      </c>
      <c r="H790">
        <v>11</v>
      </c>
      <c r="I790" t="s">
        <v>1664</v>
      </c>
      <c r="J790">
        <v>4.8</v>
      </c>
      <c r="K790" t="str">
        <f>_xlfn.XLOOKUP(B790,zones_lookup!A:A,zones_lookup!B:B,"Not found")</f>
        <v>Mr. Ogunleye</v>
      </c>
      <c r="L790">
        <f>_xlfn.XLOOKUP(B790,zones_lookup!A:A,zones_lookup!C:C,"Not found")</f>
        <v>181000</v>
      </c>
    </row>
    <row r="791" spans="1:12" x14ac:dyDescent="0.3">
      <c r="A791" s="2">
        <v>45686</v>
      </c>
      <c r="B791" t="s">
        <v>89</v>
      </c>
      <c r="C791" t="s">
        <v>90</v>
      </c>
      <c r="D791">
        <v>6</v>
      </c>
      <c r="E791">
        <v>24.9</v>
      </c>
      <c r="F791">
        <v>188.3</v>
      </c>
      <c r="G791">
        <v>2</v>
      </c>
      <c r="H791">
        <v>1</v>
      </c>
      <c r="I791" t="s">
        <v>1660</v>
      </c>
      <c r="J791">
        <v>4.1499999999999995</v>
      </c>
      <c r="K791" t="str">
        <f>_xlfn.XLOOKUP(B791,zones_lookup!A:A,zones_lookup!B:B,"Not found")</f>
        <v>Mr. Salami</v>
      </c>
      <c r="L791">
        <f>_xlfn.XLOOKUP(B791,zones_lookup!A:A,zones_lookup!C:C,"Not found")</f>
        <v>200000</v>
      </c>
    </row>
    <row r="792" spans="1:12" x14ac:dyDescent="0.3">
      <c r="A792" s="2">
        <v>45789</v>
      </c>
      <c r="B792" t="s">
        <v>27</v>
      </c>
      <c r="C792" t="s">
        <v>31</v>
      </c>
      <c r="D792">
        <v>2</v>
      </c>
      <c r="E792">
        <v>16.899999999999999</v>
      </c>
      <c r="F792">
        <v>65.099999999999994</v>
      </c>
      <c r="G792">
        <v>3</v>
      </c>
      <c r="H792">
        <v>5</v>
      </c>
      <c r="I792" t="s">
        <v>1663</v>
      </c>
      <c r="J792">
        <v>8.4499999999999993</v>
      </c>
      <c r="K792" t="str">
        <f>_xlfn.XLOOKUP(B792,zones_lookup!A:A,zones_lookup!B:B,"Not found")</f>
        <v>Mr. Bello</v>
      </c>
      <c r="L792">
        <f>_xlfn.XLOOKUP(B792,zones_lookup!A:A,zones_lookup!C:C,"Not found")</f>
        <v>1288000</v>
      </c>
    </row>
    <row r="793" spans="1:12" x14ac:dyDescent="0.3">
      <c r="A793" s="2">
        <v>45968</v>
      </c>
      <c r="B793" t="s">
        <v>76</v>
      </c>
      <c r="C793" t="s">
        <v>80</v>
      </c>
      <c r="D793">
        <v>2</v>
      </c>
      <c r="E793">
        <v>9.1999999999999993</v>
      </c>
      <c r="F793">
        <v>69.8</v>
      </c>
      <c r="G793">
        <v>1</v>
      </c>
      <c r="H793">
        <v>11</v>
      </c>
      <c r="I793" t="s">
        <v>1664</v>
      </c>
      <c r="J793">
        <v>4.5999999999999996</v>
      </c>
      <c r="K793" t="str">
        <f>_xlfn.XLOOKUP(B793,zones_lookup!A:A,zones_lookup!B:B,"Not found")</f>
        <v>Mr. Adeyemi</v>
      </c>
      <c r="L793">
        <f>_xlfn.XLOOKUP(B793,zones_lookup!A:A,zones_lookup!C:C,"Not found")</f>
        <v>313000</v>
      </c>
    </row>
    <row r="794" spans="1:12" x14ac:dyDescent="0.3">
      <c r="A794" s="2">
        <v>46014</v>
      </c>
      <c r="B794" t="s">
        <v>89</v>
      </c>
      <c r="C794" t="s">
        <v>90</v>
      </c>
      <c r="D794">
        <v>5</v>
      </c>
      <c r="E794">
        <v>33.799999999999997</v>
      </c>
      <c r="F794">
        <v>189.6</v>
      </c>
      <c r="G794">
        <v>1</v>
      </c>
      <c r="H794">
        <v>12</v>
      </c>
      <c r="I794" t="s">
        <v>1671</v>
      </c>
      <c r="J794">
        <v>6.76</v>
      </c>
      <c r="K794" t="str">
        <f>_xlfn.XLOOKUP(B794,zones_lookup!A:A,zones_lookup!B:B,"Not found")</f>
        <v>Mr. Salami</v>
      </c>
      <c r="L794">
        <f>_xlfn.XLOOKUP(B794,zones_lookup!A:A,zones_lookup!C:C,"Not found")</f>
        <v>200000</v>
      </c>
    </row>
    <row r="795" spans="1:12" x14ac:dyDescent="0.3">
      <c r="A795" s="2">
        <v>45985</v>
      </c>
      <c r="B795" t="s">
        <v>41</v>
      </c>
      <c r="C795" t="s">
        <v>42</v>
      </c>
      <c r="D795">
        <v>5</v>
      </c>
      <c r="E795">
        <v>34.5</v>
      </c>
      <c r="F795">
        <v>193.5</v>
      </c>
      <c r="G795">
        <v>0</v>
      </c>
      <c r="H795">
        <v>11</v>
      </c>
      <c r="I795" t="s">
        <v>1664</v>
      </c>
      <c r="J795">
        <v>6.9</v>
      </c>
      <c r="K795" t="str">
        <f>_xlfn.XLOOKUP(B795,zones_lookup!A:A,zones_lookup!B:B,"Not found")</f>
        <v>Mrs. Adisa</v>
      </c>
      <c r="L795">
        <f>_xlfn.XLOOKUP(B795,zones_lookup!A:A,zones_lookup!C:C,"Not found")</f>
        <v>633000</v>
      </c>
    </row>
    <row r="796" spans="1:12" x14ac:dyDescent="0.3">
      <c r="A796" s="2">
        <v>45737</v>
      </c>
      <c r="B796" t="s">
        <v>60</v>
      </c>
      <c r="C796" t="s">
        <v>64</v>
      </c>
      <c r="D796">
        <v>2</v>
      </c>
      <c r="E796">
        <v>8.1999999999999993</v>
      </c>
      <c r="F796">
        <v>78.7</v>
      </c>
      <c r="G796">
        <v>2</v>
      </c>
      <c r="H796">
        <v>3</v>
      </c>
      <c r="I796" t="s">
        <v>1662</v>
      </c>
      <c r="J796">
        <v>4.0999999999999996</v>
      </c>
      <c r="K796" t="str">
        <f>_xlfn.XLOOKUP(B796,zones_lookup!A:A,zones_lookup!B:B,"Not found")</f>
        <v>Mrs. Eze</v>
      </c>
      <c r="L796">
        <f>_xlfn.XLOOKUP(B796,zones_lookup!A:A,zones_lookup!C:C,"Not found")</f>
        <v>535000</v>
      </c>
    </row>
    <row r="797" spans="1:12" x14ac:dyDescent="0.3">
      <c r="A797" s="2">
        <v>45911</v>
      </c>
      <c r="B797" t="s">
        <v>27</v>
      </c>
      <c r="C797" t="s">
        <v>34</v>
      </c>
      <c r="D797">
        <v>5</v>
      </c>
      <c r="E797">
        <v>33.299999999999997</v>
      </c>
      <c r="F797">
        <v>163.6</v>
      </c>
      <c r="G797">
        <v>1</v>
      </c>
      <c r="H797">
        <v>9</v>
      </c>
      <c r="I797" t="s">
        <v>1670</v>
      </c>
      <c r="J797">
        <v>6.6599999999999993</v>
      </c>
      <c r="K797" t="str">
        <f>_xlfn.XLOOKUP(B797,zones_lookup!A:A,zones_lookup!B:B,"Not found")</f>
        <v>Mr. Bello</v>
      </c>
      <c r="L797">
        <f>_xlfn.XLOOKUP(B797,zones_lookup!A:A,zones_lookup!C:C,"Not found")</f>
        <v>1288000</v>
      </c>
    </row>
    <row r="798" spans="1:12" x14ac:dyDescent="0.3">
      <c r="A798" s="2">
        <v>45892</v>
      </c>
      <c r="B798" t="s">
        <v>89</v>
      </c>
      <c r="C798" t="s">
        <v>90</v>
      </c>
      <c r="D798">
        <v>2</v>
      </c>
      <c r="E798">
        <v>10.199999999999999</v>
      </c>
      <c r="G798">
        <v>2</v>
      </c>
      <c r="H798">
        <v>8</v>
      </c>
      <c r="I798" t="s">
        <v>1666</v>
      </c>
      <c r="J798">
        <v>5.0999999999999996</v>
      </c>
      <c r="K798" t="str">
        <f>_xlfn.XLOOKUP(B798,zones_lookup!A:A,zones_lookup!B:B,"Not found")</f>
        <v>Mr. Salami</v>
      </c>
      <c r="L798">
        <f>_xlfn.XLOOKUP(B798,zones_lookup!A:A,zones_lookup!C:C,"Not found")</f>
        <v>200000</v>
      </c>
    </row>
    <row r="799" spans="1:12" x14ac:dyDescent="0.3">
      <c r="A799" s="2">
        <v>45912</v>
      </c>
      <c r="B799" t="s">
        <v>49</v>
      </c>
      <c r="C799" t="s">
        <v>50</v>
      </c>
      <c r="D799">
        <v>6</v>
      </c>
      <c r="E799">
        <v>23.9</v>
      </c>
      <c r="F799">
        <v>238.7</v>
      </c>
      <c r="G799">
        <v>5</v>
      </c>
      <c r="H799">
        <v>9</v>
      </c>
      <c r="I799" t="s">
        <v>1670</v>
      </c>
      <c r="J799">
        <v>3.9833333333333329</v>
      </c>
      <c r="K799" t="str">
        <f>_xlfn.XLOOKUP(B799,zones_lookup!A:A,zones_lookup!B:B,"Not found")</f>
        <v>Mrs. Johnson</v>
      </c>
      <c r="L799">
        <f>_xlfn.XLOOKUP(B799,zones_lookup!A:A,zones_lookup!C:C,"Not found")</f>
        <v>241000</v>
      </c>
    </row>
    <row r="800" spans="1:12" x14ac:dyDescent="0.3">
      <c r="A800" s="2">
        <v>45675</v>
      </c>
      <c r="B800" t="s">
        <v>60</v>
      </c>
      <c r="C800" t="s">
        <v>64</v>
      </c>
      <c r="D800">
        <v>6</v>
      </c>
      <c r="E800">
        <v>28.9</v>
      </c>
      <c r="F800">
        <v>214.8</v>
      </c>
      <c r="G800">
        <v>0</v>
      </c>
      <c r="H800">
        <v>1</v>
      </c>
      <c r="I800" t="s">
        <v>1660</v>
      </c>
      <c r="J800">
        <v>4.8166666666666664</v>
      </c>
      <c r="K800" t="str">
        <f>_xlfn.XLOOKUP(B800,zones_lookup!A:A,zones_lookup!B:B,"Not found")</f>
        <v>Mrs. Eze</v>
      </c>
      <c r="L800">
        <f>_xlfn.XLOOKUP(B800,zones_lookup!A:A,zones_lookup!C:C,"Not found")</f>
        <v>535000</v>
      </c>
    </row>
    <row r="801" spans="1:12" x14ac:dyDescent="0.3">
      <c r="A801" s="2">
        <v>45822</v>
      </c>
      <c r="B801" t="s">
        <v>89</v>
      </c>
      <c r="C801" t="s">
        <v>131</v>
      </c>
      <c r="D801">
        <v>5</v>
      </c>
      <c r="E801">
        <v>27.1</v>
      </c>
      <c r="F801">
        <v>217.5</v>
      </c>
      <c r="G801">
        <v>1</v>
      </c>
      <c r="H801">
        <v>6</v>
      </c>
      <c r="I801" t="s">
        <v>1667</v>
      </c>
      <c r="J801">
        <v>5.42</v>
      </c>
      <c r="K801" t="str">
        <f>_xlfn.XLOOKUP(B801,zones_lookup!A:A,zones_lookup!B:B,"Not found")</f>
        <v>Mr. Salami</v>
      </c>
      <c r="L801">
        <f>_xlfn.XLOOKUP(B801,zones_lookup!A:A,zones_lookup!C:C,"Not found")</f>
        <v>200000</v>
      </c>
    </row>
    <row r="802" spans="1:12" x14ac:dyDescent="0.3">
      <c r="A802" s="2">
        <v>45724</v>
      </c>
      <c r="B802" t="s">
        <v>60</v>
      </c>
      <c r="C802" t="s">
        <v>64</v>
      </c>
      <c r="D802">
        <v>6</v>
      </c>
      <c r="E802">
        <v>30.8</v>
      </c>
      <c r="F802">
        <v>275.2</v>
      </c>
      <c r="G802">
        <v>1</v>
      </c>
      <c r="H802">
        <v>3</v>
      </c>
      <c r="I802" t="s">
        <v>1662</v>
      </c>
      <c r="J802">
        <v>5.1333333333333337</v>
      </c>
      <c r="K802" t="str">
        <f>_xlfn.XLOOKUP(B802,zones_lookup!A:A,zones_lookup!B:B,"Not found")</f>
        <v>Mrs. Eze</v>
      </c>
      <c r="L802">
        <f>_xlfn.XLOOKUP(B802,zones_lookup!A:A,zones_lookup!C:C,"Not found")</f>
        <v>535000</v>
      </c>
    </row>
    <row r="803" spans="1:12" x14ac:dyDescent="0.3">
      <c r="A803" s="2">
        <v>46012</v>
      </c>
      <c r="B803" t="s">
        <v>76</v>
      </c>
      <c r="C803" t="s">
        <v>80</v>
      </c>
      <c r="D803">
        <v>5</v>
      </c>
      <c r="E803">
        <v>45.4</v>
      </c>
      <c r="F803">
        <v>214</v>
      </c>
      <c r="G803">
        <v>0</v>
      </c>
      <c r="H803">
        <v>12</v>
      </c>
      <c r="I803" t="s">
        <v>1671</v>
      </c>
      <c r="J803">
        <v>9.08</v>
      </c>
      <c r="K803" t="str">
        <f>_xlfn.XLOOKUP(B803,zones_lookup!A:A,zones_lookup!B:B,"Not found")</f>
        <v>Mr. Adeyemi</v>
      </c>
      <c r="L803">
        <f>_xlfn.XLOOKUP(B803,zones_lookup!A:A,zones_lookup!C:C,"Not found")</f>
        <v>313000</v>
      </c>
    </row>
    <row r="804" spans="1:12" x14ac:dyDescent="0.3">
      <c r="A804" s="2">
        <v>45801</v>
      </c>
      <c r="B804" t="s">
        <v>49</v>
      </c>
      <c r="C804" t="s">
        <v>52</v>
      </c>
      <c r="D804">
        <v>6</v>
      </c>
      <c r="E804">
        <v>22.2</v>
      </c>
      <c r="F804">
        <v>245.7</v>
      </c>
      <c r="G804">
        <v>5</v>
      </c>
      <c r="H804">
        <v>5</v>
      </c>
      <c r="I804" t="s">
        <v>1663</v>
      </c>
      <c r="J804">
        <v>3.6999999999999997</v>
      </c>
      <c r="K804" t="str">
        <f>_xlfn.XLOOKUP(B804,zones_lookup!A:A,zones_lookup!B:B,"Not found")</f>
        <v>Mrs. Johnson</v>
      </c>
      <c r="L804">
        <f>_xlfn.XLOOKUP(B804,zones_lookup!A:A,zones_lookup!C:C,"Not found")</f>
        <v>241000</v>
      </c>
    </row>
    <row r="805" spans="1:12" x14ac:dyDescent="0.3">
      <c r="A805" s="2">
        <v>45745</v>
      </c>
      <c r="B805" t="s">
        <v>60</v>
      </c>
      <c r="C805" t="s">
        <v>64</v>
      </c>
      <c r="D805">
        <v>2</v>
      </c>
      <c r="E805">
        <v>9.4</v>
      </c>
      <c r="F805">
        <v>80</v>
      </c>
      <c r="G805">
        <v>4</v>
      </c>
      <c r="H805">
        <v>3</v>
      </c>
      <c r="I805" t="s">
        <v>1662</v>
      </c>
      <c r="J805">
        <v>4.7</v>
      </c>
      <c r="K805" t="str">
        <f>_xlfn.XLOOKUP(B805,zones_lookup!A:A,zones_lookup!B:B,"Not found")</f>
        <v>Mrs. Eze</v>
      </c>
      <c r="L805">
        <f>_xlfn.XLOOKUP(B805,zones_lookup!A:A,zones_lookup!C:C,"Not found")</f>
        <v>535000</v>
      </c>
    </row>
    <row r="806" spans="1:12" x14ac:dyDescent="0.3">
      <c r="A806" s="2">
        <v>45925</v>
      </c>
      <c r="B806" t="s">
        <v>60</v>
      </c>
      <c r="C806" t="s">
        <v>69</v>
      </c>
      <c r="D806">
        <v>3</v>
      </c>
      <c r="E806">
        <v>10.8</v>
      </c>
      <c r="F806">
        <v>118.6</v>
      </c>
      <c r="G806">
        <v>5</v>
      </c>
      <c r="H806">
        <v>9</v>
      </c>
      <c r="I806" t="s">
        <v>1670</v>
      </c>
      <c r="J806">
        <v>3.6</v>
      </c>
      <c r="K806" t="str">
        <f>_xlfn.XLOOKUP(B806,zones_lookup!A:A,zones_lookup!B:B,"Not found")</f>
        <v>Mrs. Eze</v>
      </c>
      <c r="L806">
        <f>_xlfn.XLOOKUP(B806,zones_lookup!A:A,zones_lookup!C:C,"Not found")</f>
        <v>535000</v>
      </c>
    </row>
    <row r="807" spans="1:12" x14ac:dyDescent="0.3">
      <c r="A807" s="2">
        <v>45853</v>
      </c>
      <c r="B807" t="s">
        <v>93</v>
      </c>
      <c r="C807" t="s">
        <v>101</v>
      </c>
      <c r="D807">
        <v>3</v>
      </c>
      <c r="E807">
        <v>12.3</v>
      </c>
      <c r="F807">
        <v>75.5</v>
      </c>
      <c r="G807">
        <v>2</v>
      </c>
      <c r="H807">
        <v>7</v>
      </c>
      <c r="I807" t="s">
        <v>1661</v>
      </c>
      <c r="J807">
        <v>4.1000000000000005</v>
      </c>
      <c r="K807" t="str">
        <f>_xlfn.XLOOKUP(B807,zones_lookup!A:A,zones_lookup!B:B,"Not found")</f>
        <v>Mr. Ogunleye</v>
      </c>
      <c r="L807">
        <f>_xlfn.XLOOKUP(B807,zones_lookup!A:A,zones_lookup!C:C,"Not found")</f>
        <v>181000</v>
      </c>
    </row>
    <row r="808" spans="1:12" x14ac:dyDescent="0.3">
      <c r="A808" s="2">
        <v>45780</v>
      </c>
      <c r="B808" t="s">
        <v>76</v>
      </c>
      <c r="C808" t="s">
        <v>77</v>
      </c>
      <c r="D808">
        <v>4</v>
      </c>
      <c r="E808">
        <v>31.1</v>
      </c>
      <c r="F808">
        <v>150.5</v>
      </c>
      <c r="G808">
        <v>1</v>
      </c>
      <c r="H808">
        <v>5</v>
      </c>
      <c r="I808" t="s">
        <v>1663</v>
      </c>
      <c r="J808">
        <v>7.7750000000000004</v>
      </c>
      <c r="K808" t="str">
        <f>_xlfn.XLOOKUP(B808,zones_lookup!A:A,zones_lookup!B:B,"Not found")</f>
        <v>Mr. Adeyemi</v>
      </c>
      <c r="L808">
        <f>_xlfn.XLOOKUP(B808,zones_lookup!A:A,zones_lookup!C:C,"Not found")</f>
        <v>313000</v>
      </c>
    </row>
    <row r="809" spans="1:12" x14ac:dyDescent="0.3">
      <c r="A809" s="2">
        <v>45702</v>
      </c>
      <c r="B809" t="s">
        <v>93</v>
      </c>
      <c r="C809" t="s">
        <v>57</v>
      </c>
      <c r="D809">
        <v>3</v>
      </c>
      <c r="E809">
        <v>10.1</v>
      </c>
      <c r="F809">
        <v>131.1</v>
      </c>
      <c r="G809">
        <v>5</v>
      </c>
      <c r="H809">
        <v>2</v>
      </c>
      <c r="I809" t="s">
        <v>1665</v>
      </c>
      <c r="J809">
        <v>3.3666666666666667</v>
      </c>
      <c r="K809" t="str">
        <f>_xlfn.XLOOKUP(B809,zones_lookup!A:A,zones_lookup!B:B,"Not found")</f>
        <v>Mr. Ogunleye</v>
      </c>
      <c r="L809">
        <f>_xlfn.XLOOKUP(B809,zones_lookup!A:A,zones_lookup!C:C,"Not found")</f>
        <v>181000</v>
      </c>
    </row>
    <row r="810" spans="1:12" x14ac:dyDescent="0.3">
      <c r="A810" s="2">
        <v>45831</v>
      </c>
      <c r="B810" t="s">
        <v>108</v>
      </c>
      <c r="C810" t="s">
        <v>169</v>
      </c>
      <c r="D810">
        <v>4</v>
      </c>
      <c r="E810">
        <v>29.1</v>
      </c>
      <c r="F810">
        <v>149.69999999999999</v>
      </c>
      <c r="G810">
        <v>1</v>
      </c>
      <c r="H810">
        <v>6</v>
      </c>
      <c r="I810" t="s">
        <v>1667</v>
      </c>
      <c r="J810">
        <v>7.2750000000000004</v>
      </c>
      <c r="K810" t="str">
        <f>_xlfn.XLOOKUP(B810,zones_lookup!A:A,zones_lookup!B:B,"Not found")</f>
        <v>Mrs. Okafor</v>
      </c>
      <c r="L810">
        <f>_xlfn.XLOOKUP(B810,zones_lookup!A:A,zones_lookup!C:C,"Not found")</f>
        <v>503000</v>
      </c>
    </row>
    <row r="811" spans="1:12" x14ac:dyDescent="0.3">
      <c r="A811" s="2">
        <v>45928</v>
      </c>
      <c r="B811" t="s">
        <v>41</v>
      </c>
      <c r="C811" t="s">
        <v>66</v>
      </c>
      <c r="D811">
        <v>5</v>
      </c>
      <c r="E811">
        <v>38.200000000000003</v>
      </c>
      <c r="F811">
        <v>142</v>
      </c>
      <c r="G811">
        <v>1</v>
      </c>
      <c r="H811">
        <v>9</v>
      </c>
      <c r="I811" t="s">
        <v>1670</v>
      </c>
      <c r="J811">
        <v>7.6400000000000006</v>
      </c>
      <c r="K811" t="str">
        <f>_xlfn.XLOOKUP(B811,zones_lookup!A:A,zones_lookup!B:B,"Not found")</f>
        <v>Mrs. Adisa</v>
      </c>
      <c r="L811">
        <f>_xlfn.XLOOKUP(B811,zones_lookup!A:A,zones_lookup!C:C,"Not found")</f>
        <v>633000</v>
      </c>
    </row>
    <row r="812" spans="1:12" x14ac:dyDescent="0.3">
      <c r="A812" s="2">
        <v>45801</v>
      </c>
      <c r="B812" t="s">
        <v>89</v>
      </c>
      <c r="C812" t="s">
        <v>131</v>
      </c>
      <c r="D812">
        <v>5</v>
      </c>
      <c r="E812">
        <v>30.4</v>
      </c>
      <c r="F812">
        <v>134.9</v>
      </c>
      <c r="G812">
        <v>1</v>
      </c>
      <c r="H812">
        <v>5</v>
      </c>
      <c r="I812" t="s">
        <v>1663</v>
      </c>
      <c r="J812">
        <v>6.08</v>
      </c>
      <c r="K812" t="str">
        <f>_xlfn.XLOOKUP(B812,zones_lookup!A:A,zones_lookup!B:B,"Not found")</f>
        <v>Mr. Salami</v>
      </c>
      <c r="L812">
        <f>_xlfn.XLOOKUP(B812,zones_lookup!A:A,zones_lookup!C:C,"Not found")</f>
        <v>200000</v>
      </c>
    </row>
    <row r="813" spans="1:12" x14ac:dyDescent="0.3">
      <c r="A813" s="2">
        <v>45832</v>
      </c>
      <c r="B813" t="s">
        <v>27</v>
      </c>
      <c r="C813" t="s">
        <v>31</v>
      </c>
      <c r="D813">
        <v>5</v>
      </c>
      <c r="E813">
        <v>35.1</v>
      </c>
      <c r="F813">
        <v>206</v>
      </c>
      <c r="G813">
        <v>2</v>
      </c>
      <c r="H813">
        <v>6</v>
      </c>
      <c r="I813" t="s">
        <v>1667</v>
      </c>
      <c r="J813">
        <v>7.0200000000000005</v>
      </c>
      <c r="K813" t="str">
        <f>_xlfn.XLOOKUP(B813,zones_lookup!A:A,zones_lookup!B:B,"Not found")</f>
        <v>Mr. Bello</v>
      </c>
      <c r="L813">
        <f>_xlfn.XLOOKUP(B813,zones_lookup!A:A,zones_lookup!C:C,"Not found")</f>
        <v>1288000</v>
      </c>
    </row>
    <row r="814" spans="1:12" x14ac:dyDescent="0.3">
      <c r="A814" s="2">
        <v>46005</v>
      </c>
      <c r="B814" t="s">
        <v>108</v>
      </c>
      <c r="C814" t="s">
        <v>109</v>
      </c>
      <c r="D814">
        <v>2</v>
      </c>
      <c r="E814">
        <v>14.7</v>
      </c>
      <c r="F814">
        <v>91.5</v>
      </c>
      <c r="G814">
        <v>3</v>
      </c>
      <c r="H814">
        <v>12</v>
      </c>
      <c r="I814" t="s">
        <v>1671</v>
      </c>
      <c r="J814">
        <v>7.35</v>
      </c>
      <c r="K814" t="str">
        <f>_xlfn.XLOOKUP(B814,zones_lookup!A:A,zones_lookup!B:B,"Not found")</f>
        <v>Mrs. Okafor</v>
      </c>
      <c r="L814">
        <f>_xlfn.XLOOKUP(B814,zones_lookup!A:A,zones_lookup!C:C,"Not found")</f>
        <v>503000</v>
      </c>
    </row>
    <row r="815" spans="1:12" x14ac:dyDescent="0.3">
      <c r="A815" s="2">
        <v>45772</v>
      </c>
      <c r="B815" t="s">
        <v>49</v>
      </c>
      <c r="C815" t="s">
        <v>52</v>
      </c>
      <c r="D815">
        <v>2</v>
      </c>
      <c r="E815">
        <v>8</v>
      </c>
      <c r="G815">
        <v>4</v>
      </c>
      <c r="H815">
        <v>4</v>
      </c>
      <c r="I815" t="s">
        <v>1668</v>
      </c>
      <c r="J815">
        <v>4</v>
      </c>
      <c r="K815" t="str">
        <f>_xlfn.XLOOKUP(B815,zones_lookup!A:A,zones_lookup!B:B,"Not found")</f>
        <v>Mrs. Johnson</v>
      </c>
      <c r="L815">
        <f>_xlfn.XLOOKUP(B815,zones_lookup!A:A,zones_lookup!C:C,"Not found")</f>
        <v>241000</v>
      </c>
    </row>
    <row r="816" spans="1:12" x14ac:dyDescent="0.3">
      <c r="A816" s="2">
        <v>45920</v>
      </c>
      <c r="B816" t="s">
        <v>76</v>
      </c>
      <c r="C816" t="s">
        <v>84</v>
      </c>
      <c r="D816">
        <v>2</v>
      </c>
      <c r="E816">
        <v>10.9</v>
      </c>
      <c r="F816">
        <v>62.6</v>
      </c>
      <c r="G816">
        <v>1</v>
      </c>
      <c r="H816">
        <v>9</v>
      </c>
      <c r="I816" t="s">
        <v>1670</v>
      </c>
      <c r="J816">
        <v>5.45</v>
      </c>
      <c r="K816" t="str">
        <f>_xlfn.XLOOKUP(B816,zones_lookup!A:A,zones_lookup!B:B,"Not found")</f>
        <v>Mr. Adeyemi</v>
      </c>
      <c r="L816">
        <f>_xlfn.XLOOKUP(B816,zones_lookup!A:A,zones_lookup!C:C,"Not found")</f>
        <v>313000</v>
      </c>
    </row>
    <row r="817" spans="1:12" x14ac:dyDescent="0.3">
      <c r="A817" s="2">
        <v>45697</v>
      </c>
      <c r="B817" t="s">
        <v>49</v>
      </c>
      <c r="C817" t="s">
        <v>50</v>
      </c>
      <c r="D817">
        <v>5</v>
      </c>
      <c r="F817">
        <v>147.80000000000001</v>
      </c>
      <c r="G817">
        <v>5</v>
      </c>
      <c r="H817">
        <v>2</v>
      </c>
      <c r="I817" t="s">
        <v>1665</v>
      </c>
      <c r="K817" t="str">
        <f>_xlfn.XLOOKUP(B817,zones_lookup!A:A,zones_lookup!B:B,"Not found")</f>
        <v>Mrs. Johnson</v>
      </c>
      <c r="L817">
        <f>_xlfn.XLOOKUP(B817,zones_lookup!A:A,zones_lookup!C:C,"Not found")</f>
        <v>241000</v>
      </c>
    </row>
    <row r="818" spans="1:12" x14ac:dyDescent="0.3">
      <c r="A818" s="2">
        <v>45696</v>
      </c>
      <c r="B818" t="s">
        <v>76</v>
      </c>
      <c r="C818" t="s">
        <v>77</v>
      </c>
      <c r="D818">
        <v>5</v>
      </c>
      <c r="E818">
        <v>32</v>
      </c>
      <c r="F818">
        <v>218.3</v>
      </c>
      <c r="G818">
        <v>1</v>
      </c>
      <c r="H818">
        <v>2</v>
      </c>
      <c r="I818" t="s">
        <v>1665</v>
      </c>
      <c r="J818">
        <v>6.4</v>
      </c>
      <c r="K818" t="str">
        <f>_xlfn.XLOOKUP(B818,zones_lookup!A:A,zones_lookup!B:B,"Not found")</f>
        <v>Mr. Adeyemi</v>
      </c>
      <c r="L818">
        <f>_xlfn.XLOOKUP(B818,zones_lookup!A:A,zones_lookup!C:C,"Not found")</f>
        <v>313000</v>
      </c>
    </row>
    <row r="819" spans="1:12" x14ac:dyDescent="0.3">
      <c r="A819" s="2">
        <v>45783</v>
      </c>
      <c r="B819" t="s">
        <v>93</v>
      </c>
      <c r="C819" t="s">
        <v>66</v>
      </c>
      <c r="D819">
        <v>4</v>
      </c>
      <c r="E819">
        <v>14.8</v>
      </c>
      <c r="F819">
        <v>150.9</v>
      </c>
      <c r="G819">
        <v>2</v>
      </c>
      <c r="H819">
        <v>5</v>
      </c>
      <c r="I819" t="s">
        <v>1663</v>
      </c>
      <c r="J819">
        <v>3.7</v>
      </c>
      <c r="K819" t="str">
        <f>_xlfn.XLOOKUP(B819,zones_lookup!A:A,zones_lookup!B:B,"Not found")</f>
        <v>Mr. Ogunleye</v>
      </c>
      <c r="L819">
        <f>_xlfn.XLOOKUP(B819,zones_lookup!A:A,zones_lookup!C:C,"Not found")</f>
        <v>181000</v>
      </c>
    </row>
    <row r="820" spans="1:12" x14ac:dyDescent="0.3">
      <c r="A820" s="2">
        <v>45987</v>
      </c>
      <c r="B820" t="s">
        <v>93</v>
      </c>
      <c r="C820" t="s">
        <v>101</v>
      </c>
      <c r="D820">
        <v>4</v>
      </c>
      <c r="E820">
        <v>17.3</v>
      </c>
      <c r="F820">
        <v>174.5</v>
      </c>
      <c r="G820">
        <v>4</v>
      </c>
      <c r="H820">
        <v>11</v>
      </c>
      <c r="I820" t="s">
        <v>1664</v>
      </c>
      <c r="J820">
        <v>4.3250000000000002</v>
      </c>
      <c r="K820" t="str">
        <f>_xlfn.XLOOKUP(B820,zones_lookup!A:A,zones_lookup!B:B,"Not found")</f>
        <v>Mr. Ogunleye</v>
      </c>
      <c r="L820">
        <f>_xlfn.XLOOKUP(B820,zones_lookup!A:A,zones_lookup!C:C,"Not found")</f>
        <v>181000</v>
      </c>
    </row>
    <row r="821" spans="1:12" x14ac:dyDescent="0.3">
      <c r="A821" s="2">
        <v>45869</v>
      </c>
      <c r="B821" t="s">
        <v>60</v>
      </c>
      <c r="C821" t="s">
        <v>61</v>
      </c>
      <c r="D821">
        <v>2</v>
      </c>
      <c r="E821">
        <v>7.2</v>
      </c>
      <c r="F821">
        <v>74.8</v>
      </c>
      <c r="G821">
        <v>2</v>
      </c>
      <c r="H821">
        <v>7</v>
      </c>
      <c r="I821" t="s">
        <v>1661</v>
      </c>
      <c r="J821">
        <v>3.6</v>
      </c>
      <c r="K821" t="str">
        <f>_xlfn.XLOOKUP(B821,zones_lookup!A:A,zones_lookup!B:B,"Not found")</f>
        <v>Mrs. Eze</v>
      </c>
      <c r="L821">
        <f>_xlfn.XLOOKUP(B821,zones_lookup!A:A,zones_lookup!C:C,"Not found")</f>
        <v>535000</v>
      </c>
    </row>
    <row r="822" spans="1:12" x14ac:dyDescent="0.3">
      <c r="A822" s="2">
        <v>45779</v>
      </c>
      <c r="B822" t="s">
        <v>89</v>
      </c>
      <c r="C822" t="s">
        <v>131</v>
      </c>
      <c r="D822">
        <v>4</v>
      </c>
      <c r="E822">
        <v>24.5</v>
      </c>
      <c r="F822">
        <v>115.4</v>
      </c>
      <c r="G822">
        <v>0</v>
      </c>
      <c r="H822">
        <v>5</v>
      </c>
      <c r="I822" t="s">
        <v>1663</v>
      </c>
      <c r="J822">
        <v>6.125</v>
      </c>
      <c r="K822" t="str">
        <f>_xlfn.XLOOKUP(B822,zones_lookup!A:A,zones_lookup!B:B,"Not found")</f>
        <v>Mr. Salami</v>
      </c>
      <c r="L822">
        <f>_xlfn.XLOOKUP(B822,zones_lookup!A:A,zones_lookup!C:C,"Not found")</f>
        <v>200000</v>
      </c>
    </row>
    <row r="823" spans="1:12" x14ac:dyDescent="0.3">
      <c r="A823" s="2">
        <v>45673</v>
      </c>
      <c r="B823" t="s">
        <v>49</v>
      </c>
      <c r="C823" t="s">
        <v>50</v>
      </c>
      <c r="D823">
        <v>4</v>
      </c>
      <c r="E823">
        <v>11.7</v>
      </c>
      <c r="F823">
        <v>136.30000000000001</v>
      </c>
      <c r="G823">
        <v>1</v>
      </c>
      <c r="H823">
        <v>1</v>
      </c>
      <c r="I823" t="s">
        <v>1660</v>
      </c>
      <c r="J823">
        <v>2.9249999999999998</v>
      </c>
      <c r="K823" t="str">
        <f>_xlfn.XLOOKUP(B823,zones_lookup!A:A,zones_lookup!B:B,"Not found")</f>
        <v>Mrs. Johnson</v>
      </c>
      <c r="L823">
        <f>_xlfn.XLOOKUP(B823,zones_lookup!A:A,zones_lookup!C:C,"Not found")</f>
        <v>241000</v>
      </c>
    </row>
    <row r="824" spans="1:12" x14ac:dyDescent="0.3">
      <c r="A824" s="2">
        <v>45870</v>
      </c>
      <c r="B824" t="s">
        <v>89</v>
      </c>
      <c r="C824" t="s">
        <v>131</v>
      </c>
      <c r="D824">
        <v>6</v>
      </c>
      <c r="E824">
        <v>28.8</v>
      </c>
      <c r="F824">
        <v>212.8</v>
      </c>
      <c r="G824">
        <v>0</v>
      </c>
      <c r="H824">
        <v>8</v>
      </c>
      <c r="I824" t="s">
        <v>1666</v>
      </c>
      <c r="J824">
        <v>4.8</v>
      </c>
      <c r="K824" t="str">
        <f>_xlfn.XLOOKUP(B824,zones_lookup!A:A,zones_lookup!B:B,"Not found")</f>
        <v>Mr. Salami</v>
      </c>
      <c r="L824">
        <f>_xlfn.XLOOKUP(B824,zones_lookup!A:A,zones_lookup!C:C,"Not found")</f>
        <v>200000</v>
      </c>
    </row>
    <row r="825" spans="1:12" x14ac:dyDescent="0.3">
      <c r="A825" s="2">
        <v>45730</v>
      </c>
      <c r="B825" t="s">
        <v>108</v>
      </c>
      <c r="C825" t="s">
        <v>208</v>
      </c>
      <c r="D825">
        <v>2</v>
      </c>
      <c r="E825">
        <v>13.7</v>
      </c>
      <c r="F825">
        <v>58.4</v>
      </c>
      <c r="G825">
        <v>2</v>
      </c>
      <c r="H825">
        <v>3</v>
      </c>
      <c r="I825" t="s">
        <v>1662</v>
      </c>
      <c r="J825">
        <v>6.85</v>
      </c>
      <c r="K825" t="str">
        <f>_xlfn.XLOOKUP(B825,zones_lookup!A:A,zones_lookup!B:B,"Not found")</f>
        <v>Mrs. Okafor</v>
      </c>
      <c r="L825">
        <f>_xlfn.XLOOKUP(B825,zones_lookup!A:A,zones_lookup!C:C,"Not found")</f>
        <v>503000</v>
      </c>
    </row>
    <row r="826" spans="1:12" x14ac:dyDescent="0.3">
      <c r="A826" s="2">
        <v>45659</v>
      </c>
      <c r="B826" t="s">
        <v>76</v>
      </c>
      <c r="C826" t="s">
        <v>84</v>
      </c>
      <c r="D826">
        <v>3</v>
      </c>
      <c r="E826">
        <v>18.3</v>
      </c>
      <c r="F826">
        <v>97.1</v>
      </c>
      <c r="G826">
        <v>1</v>
      </c>
      <c r="H826">
        <v>1</v>
      </c>
      <c r="I826" t="s">
        <v>1660</v>
      </c>
      <c r="J826">
        <v>6.1000000000000005</v>
      </c>
      <c r="K826" t="str">
        <f>_xlfn.XLOOKUP(B826,zones_lookup!A:A,zones_lookup!B:B,"Not found")</f>
        <v>Mr. Adeyemi</v>
      </c>
      <c r="L826">
        <f>_xlfn.XLOOKUP(B826,zones_lookup!A:A,zones_lookup!C:C,"Not found")</f>
        <v>313000</v>
      </c>
    </row>
    <row r="827" spans="1:12" x14ac:dyDescent="0.3">
      <c r="A827" s="2">
        <v>45906</v>
      </c>
      <c r="B827" t="s">
        <v>49</v>
      </c>
      <c r="C827" t="s">
        <v>50</v>
      </c>
      <c r="D827">
        <v>6</v>
      </c>
      <c r="E827">
        <v>25.4</v>
      </c>
      <c r="F827">
        <v>233.1</v>
      </c>
      <c r="G827">
        <v>3</v>
      </c>
      <c r="H827">
        <v>9</v>
      </c>
      <c r="I827" t="s">
        <v>1670</v>
      </c>
      <c r="J827">
        <v>4.2333333333333334</v>
      </c>
      <c r="K827" t="str">
        <f>_xlfn.XLOOKUP(B827,zones_lookup!A:A,zones_lookup!B:B,"Not found")</f>
        <v>Mrs. Johnson</v>
      </c>
      <c r="L827">
        <f>_xlfn.XLOOKUP(B827,zones_lookup!A:A,zones_lookup!C:C,"Not found")</f>
        <v>241000</v>
      </c>
    </row>
    <row r="828" spans="1:12" x14ac:dyDescent="0.3">
      <c r="A828" s="2">
        <v>45791</v>
      </c>
      <c r="B828" t="s">
        <v>41</v>
      </c>
      <c r="C828" t="s">
        <v>73</v>
      </c>
      <c r="D828">
        <v>5</v>
      </c>
      <c r="E828">
        <v>37.4</v>
      </c>
      <c r="F828">
        <v>199.6</v>
      </c>
      <c r="G828">
        <v>3</v>
      </c>
      <c r="H828">
        <v>5</v>
      </c>
      <c r="I828" t="s">
        <v>1663</v>
      </c>
      <c r="J828">
        <v>7.4799999999999995</v>
      </c>
      <c r="K828" t="str">
        <f>_xlfn.XLOOKUP(B828,zones_lookup!A:A,zones_lookup!B:B,"Not found")</f>
        <v>Mrs. Adisa</v>
      </c>
      <c r="L828">
        <f>_xlfn.XLOOKUP(B828,zones_lookup!A:A,zones_lookup!C:C,"Not found")</f>
        <v>633000</v>
      </c>
    </row>
    <row r="829" spans="1:12" x14ac:dyDescent="0.3">
      <c r="A829" s="2">
        <v>45779</v>
      </c>
      <c r="B829" t="s">
        <v>60</v>
      </c>
      <c r="C829" t="s">
        <v>64</v>
      </c>
      <c r="D829">
        <v>2</v>
      </c>
      <c r="E829">
        <v>7.8</v>
      </c>
      <c r="F829">
        <v>71.3</v>
      </c>
      <c r="G829">
        <v>3</v>
      </c>
      <c r="H829">
        <v>5</v>
      </c>
      <c r="I829" t="s">
        <v>1663</v>
      </c>
      <c r="J829">
        <v>3.9</v>
      </c>
      <c r="K829" t="str">
        <f>_xlfn.XLOOKUP(B829,zones_lookup!A:A,zones_lookup!B:B,"Not found")</f>
        <v>Mrs. Eze</v>
      </c>
      <c r="L829">
        <f>_xlfn.XLOOKUP(B829,zones_lookup!A:A,zones_lookup!C:C,"Not found")</f>
        <v>535000</v>
      </c>
    </row>
    <row r="830" spans="1:12" x14ac:dyDescent="0.3">
      <c r="A830" s="2">
        <v>45858</v>
      </c>
      <c r="B830" t="s">
        <v>41</v>
      </c>
      <c r="C830" t="s">
        <v>42</v>
      </c>
      <c r="D830">
        <v>6</v>
      </c>
      <c r="E830">
        <v>37.9</v>
      </c>
      <c r="F830">
        <v>194.9</v>
      </c>
      <c r="G830">
        <v>3</v>
      </c>
      <c r="H830">
        <v>7</v>
      </c>
      <c r="I830" t="s">
        <v>1661</v>
      </c>
      <c r="J830">
        <v>6.3166666666666664</v>
      </c>
      <c r="K830" t="str">
        <f>_xlfn.XLOOKUP(B830,zones_lookup!A:A,zones_lookup!B:B,"Not found")</f>
        <v>Mrs. Adisa</v>
      </c>
      <c r="L830">
        <f>_xlfn.XLOOKUP(B830,zones_lookup!A:A,zones_lookup!C:C,"Not found")</f>
        <v>633000</v>
      </c>
    </row>
    <row r="831" spans="1:12" x14ac:dyDescent="0.3">
      <c r="A831" s="2">
        <v>45659</v>
      </c>
      <c r="B831" t="s">
        <v>76</v>
      </c>
      <c r="C831" t="s">
        <v>84</v>
      </c>
      <c r="D831">
        <v>3</v>
      </c>
      <c r="E831">
        <v>21.6</v>
      </c>
      <c r="F831">
        <v>108.3</v>
      </c>
      <c r="G831">
        <v>2</v>
      </c>
      <c r="H831">
        <v>1</v>
      </c>
      <c r="I831" t="s">
        <v>1660</v>
      </c>
      <c r="J831">
        <v>7.2</v>
      </c>
      <c r="K831" t="str">
        <f>_xlfn.XLOOKUP(B831,zones_lookup!A:A,zones_lookup!B:B,"Not found")</f>
        <v>Mr. Adeyemi</v>
      </c>
      <c r="L831">
        <f>_xlfn.XLOOKUP(B831,zones_lookup!A:A,zones_lookup!C:C,"Not found")</f>
        <v>313000</v>
      </c>
    </row>
    <row r="832" spans="1:12" x14ac:dyDescent="0.3">
      <c r="A832" s="2">
        <v>45766</v>
      </c>
      <c r="B832" t="s">
        <v>60</v>
      </c>
      <c r="C832" t="s">
        <v>64</v>
      </c>
      <c r="D832">
        <v>6</v>
      </c>
      <c r="E832">
        <v>21.7</v>
      </c>
      <c r="F832">
        <v>229.1</v>
      </c>
      <c r="G832">
        <v>1</v>
      </c>
      <c r="H832">
        <v>4</v>
      </c>
      <c r="I832" t="s">
        <v>1668</v>
      </c>
      <c r="J832">
        <v>3.6166666666666667</v>
      </c>
      <c r="K832" t="str">
        <f>_xlfn.XLOOKUP(B832,zones_lookup!A:A,zones_lookup!B:B,"Not found")</f>
        <v>Mrs. Eze</v>
      </c>
      <c r="L832">
        <f>_xlfn.XLOOKUP(B832,zones_lookup!A:A,zones_lookup!C:C,"Not found")</f>
        <v>535000</v>
      </c>
    </row>
    <row r="833" spans="1:12" x14ac:dyDescent="0.3">
      <c r="A833" s="2">
        <v>45722</v>
      </c>
      <c r="B833" t="s">
        <v>41</v>
      </c>
      <c r="C833" t="s">
        <v>42</v>
      </c>
      <c r="D833">
        <v>3</v>
      </c>
      <c r="E833">
        <v>20</v>
      </c>
      <c r="F833">
        <v>108.1</v>
      </c>
      <c r="G833">
        <v>0</v>
      </c>
      <c r="H833">
        <v>3</v>
      </c>
      <c r="I833" t="s">
        <v>1662</v>
      </c>
      <c r="J833">
        <v>6.666666666666667</v>
      </c>
      <c r="K833" t="str">
        <f>_xlfn.XLOOKUP(B833,zones_lookup!A:A,zones_lookup!B:B,"Not found")</f>
        <v>Mrs. Adisa</v>
      </c>
      <c r="L833">
        <f>_xlfn.XLOOKUP(B833,zones_lookup!A:A,zones_lookup!C:C,"Not found")</f>
        <v>633000</v>
      </c>
    </row>
    <row r="834" spans="1:12" x14ac:dyDescent="0.3">
      <c r="A834" s="2">
        <v>45705</v>
      </c>
      <c r="B834" t="s">
        <v>89</v>
      </c>
      <c r="C834" t="s">
        <v>90</v>
      </c>
      <c r="D834">
        <v>2</v>
      </c>
      <c r="E834">
        <v>9.6999999999999993</v>
      </c>
      <c r="F834">
        <v>63.9</v>
      </c>
      <c r="G834">
        <v>0</v>
      </c>
      <c r="H834">
        <v>2</v>
      </c>
      <c r="I834" t="s">
        <v>1665</v>
      </c>
      <c r="J834">
        <v>4.8499999999999996</v>
      </c>
      <c r="K834" t="str">
        <f>_xlfn.XLOOKUP(B834,zones_lookup!A:A,zones_lookup!B:B,"Not found")</f>
        <v>Mr. Salami</v>
      </c>
      <c r="L834">
        <f>_xlfn.XLOOKUP(B834,zones_lookup!A:A,zones_lookup!C:C,"Not found")</f>
        <v>200000</v>
      </c>
    </row>
    <row r="835" spans="1:12" x14ac:dyDescent="0.3">
      <c r="A835" s="2">
        <v>45860</v>
      </c>
      <c r="B835" t="s">
        <v>27</v>
      </c>
      <c r="C835" t="s">
        <v>38</v>
      </c>
      <c r="D835">
        <v>4</v>
      </c>
      <c r="E835">
        <v>28.7</v>
      </c>
      <c r="G835">
        <v>5</v>
      </c>
      <c r="H835">
        <v>7</v>
      </c>
      <c r="I835" t="s">
        <v>1661</v>
      </c>
      <c r="J835">
        <v>7.1749999999999998</v>
      </c>
      <c r="K835" t="str">
        <f>_xlfn.XLOOKUP(B835,zones_lookup!A:A,zones_lookup!B:B,"Not found")</f>
        <v>Mr. Bello</v>
      </c>
      <c r="L835">
        <f>_xlfn.XLOOKUP(B835,zones_lookup!A:A,zones_lookup!C:C,"Not found")</f>
        <v>1288000</v>
      </c>
    </row>
    <row r="836" spans="1:12" x14ac:dyDescent="0.3">
      <c r="A836" s="2">
        <v>45659</v>
      </c>
      <c r="B836" t="s">
        <v>27</v>
      </c>
      <c r="C836" t="s">
        <v>28</v>
      </c>
      <c r="D836">
        <v>3</v>
      </c>
      <c r="E836">
        <v>19.100000000000001</v>
      </c>
      <c r="F836">
        <v>129.4</v>
      </c>
      <c r="G836">
        <v>1</v>
      </c>
      <c r="H836">
        <v>1</v>
      </c>
      <c r="I836" t="s">
        <v>1660</v>
      </c>
      <c r="J836">
        <v>6.3666666666666671</v>
      </c>
      <c r="K836" t="str">
        <f>_xlfn.XLOOKUP(B836,zones_lookup!A:A,zones_lookup!B:B,"Not found")</f>
        <v>Mr. Bello</v>
      </c>
      <c r="L836">
        <f>_xlfn.XLOOKUP(B836,zones_lookup!A:A,zones_lookup!C:C,"Not found")</f>
        <v>1288000</v>
      </c>
    </row>
    <row r="837" spans="1:12" x14ac:dyDescent="0.3">
      <c r="A837" s="2">
        <v>45665</v>
      </c>
      <c r="B837" t="s">
        <v>27</v>
      </c>
      <c r="C837" t="s">
        <v>28</v>
      </c>
      <c r="D837">
        <v>6</v>
      </c>
      <c r="E837">
        <v>43.3</v>
      </c>
      <c r="F837">
        <v>221.5</v>
      </c>
      <c r="G837">
        <v>0</v>
      </c>
      <c r="H837">
        <v>1</v>
      </c>
      <c r="I837" t="s">
        <v>1660</v>
      </c>
      <c r="J837">
        <v>7.2166666666666659</v>
      </c>
      <c r="K837" t="str">
        <f>_xlfn.XLOOKUP(B837,zones_lookup!A:A,zones_lookup!B:B,"Not found")</f>
        <v>Mr. Bello</v>
      </c>
      <c r="L837">
        <f>_xlfn.XLOOKUP(B837,zones_lookup!A:A,zones_lookup!C:C,"Not found")</f>
        <v>1288000</v>
      </c>
    </row>
    <row r="838" spans="1:12" x14ac:dyDescent="0.3">
      <c r="A838" s="2">
        <v>45801</v>
      </c>
      <c r="B838" t="s">
        <v>76</v>
      </c>
      <c r="C838" t="s">
        <v>84</v>
      </c>
      <c r="D838">
        <v>5</v>
      </c>
      <c r="E838">
        <v>38.1</v>
      </c>
      <c r="F838">
        <v>188.7</v>
      </c>
      <c r="G838">
        <v>2</v>
      </c>
      <c r="H838">
        <v>5</v>
      </c>
      <c r="I838" t="s">
        <v>1663</v>
      </c>
      <c r="J838">
        <v>7.62</v>
      </c>
      <c r="K838" t="str">
        <f>_xlfn.XLOOKUP(B838,zones_lookup!A:A,zones_lookup!B:B,"Not found")</f>
        <v>Mr. Adeyemi</v>
      </c>
      <c r="L838">
        <f>_xlfn.XLOOKUP(B838,zones_lookup!A:A,zones_lookup!C:C,"Not found")</f>
        <v>313000</v>
      </c>
    </row>
    <row r="839" spans="1:12" x14ac:dyDescent="0.3">
      <c r="A839" s="2">
        <v>45955</v>
      </c>
      <c r="B839" t="s">
        <v>27</v>
      </c>
      <c r="C839" t="s">
        <v>31</v>
      </c>
      <c r="D839">
        <v>4</v>
      </c>
      <c r="E839">
        <v>29.8</v>
      </c>
      <c r="F839">
        <v>136.30000000000001</v>
      </c>
      <c r="G839">
        <v>1</v>
      </c>
      <c r="H839">
        <v>10</v>
      </c>
      <c r="I839" t="s">
        <v>1669</v>
      </c>
      <c r="J839">
        <v>7.45</v>
      </c>
      <c r="K839" t="str">
        <f>_xlfn.XLOOKUP(B839,zones_lookup!A:A,zones_lookup!B:B,"Not found")</f>
        <v>Mr. Bello</v>
      </c>
      <c r="L839">
        <f>_xlfn.XLOOKUP(B839,zones_lookup!A:A,zones_lookup!C:C,"Not found")</f>
        <v>1288000</v>
      </c>
    </row>
    <row r="840" spans="1:12" x14ac:dyDescent="0.3">
      <c r="A840" s="2">
        <v>45658</v>
      </c>
      <c r="B840" t="s">
        <v>76</v>
      </c>
      <c r="C840" t="s">
        <v>80</v>
      </c>
      <c r="D840">
        <v>2</v>
      </c>
      <c r="E840">
        <v>11.6</v>
      </c>
      <c r="F840">
        <v>79</v>
      </c>
      <c r="G840">
        <v>2</v>
      </c>
      <c r="H840">
        <v>1</v>
      </c>
      <c r="I840" t="s">
        <v>1660</v>
      </c>
      <c r="J840">
        <v>5.8</v>
      </c>
      <c r="K840" t="str">
        <f>_xlfn.XLOOKUP(B840,zones_lookup!A:A,zones_lookup!B:B,"Not found")</f>
        <v>Mr. Adeyemi</v>
      </c>
      <c r="L840">
        <f>_xlfn.XLOOKUP(B840,zones_lookup!A:A,zones_lookup!C:C,"Not found")</f>
        <v>313000</v>
      </c>
    </row>
    <row r="841" spans="1:12" x14ac:dyDescent="0.3">
      <c r="A841" s="2">
        <v>45789</v>
      </c>
      <c r="B841" t="s">
        <v>27</v>
      </c>
      <c r="C841" t="s">
        <v>38</v>
      </c>
      <c r="D841">
        <v>3</v>
      </c>
      <c r="E841">
        <v>28.1</v>
      </c>
      <c r="F841">
        <v>118.5</v>
      </c>
      <c r="G841">
        <v>1</v>
      </c>
      <c r="H841">
        <v>5</v>
      </c>
      <c r="I841" t="s">
        <v>1663</v>
      </c>
      <c r="J841">
        <v>9.3666666666666671</v>
      </c>
      <c r="K841" t="str">
        <f>_xlfn.XLOOKUP(B841,zones_lookup!A:A,zones_lookup!B:B,"Not found")</f>
        <v>Mr. Bello</v>
      </c>
      <c r="L841">
        <f>_xlfn.XLOOKUP(B841,zones_lookup!A:A,zones_lookup!C:C,"Not found")</f>
        <v>1288000</v>
      </c>
    </row>
    <row r="842" spans="1:12" x14ac:dyDescent="0.3">
      <c r="A842" s="2">
        <v>45989</v>
      </c>
      <c r="B842" t="s">
        <v>60</v>
      </c>
      <c r="C842" t="s">
        <v>64</v>
      </c>
      <c r="D842">
        <v>2</v>
      </c>
      <c r="E842">
        <v>8.5</v>
      </c>
      <c r="F842">
        <v>69.7</v>
      </c>
      <c r="G842">
        <v>3</v>
      </c>
      <c r="H842">
        <v>11</v>
      </c>
      <c r="I842" t="s">
        <v>1664</v>
      </c>
      <c r="J842">
        <v>4.25</v>
      </c>
      <c r="K842" t="str">
        <f>_xlfn.XLOOKUP(B842,zones_lookup!A:A,zones_lookup!B:B,"Not found")</f>
        <v>Mrs. Eze</v>
      </c>
      <c r="L842">
        <f>_xlfn.XLOOKUP(B842,zones_lookup!A:A,zones_lookup!C:C,"Not found")</f>
        <v>535000</v>
      </c>
    </row>
    <row r="843" spans="1:12" x14ac:dyDescent="0.3">
      <c r="A843" s="2">
        <v>45753</v>
      </c>
      <c r="B843" t="s">
        <v>41</v>
      </c>
      <c r="C843" t="s">
        <v>73</v>
      </c>
      <c r="D843">
        <v>3</v>
      </c>
      <c r="E843">
        <v>19.899999999999999</v>
      </c>
      <c r="F843">
        <v>101.8</v>
      </c>
      <c r="G843">
        <v>2</v>
      </c>
      <c r="H843">
        <v>4</v>
      </c>
      <c r="I843" t="s">
        <v>1668</v>
      </c>
      <c r="J843">
        <v>6.6333333333333329</v>
      </c>
      <c r="K843" t="str">
        <f>_xlfn.XLOOKUP(B843,zones_lookup!A:A,zones_lookup!B:B,"Not found")</f>
        <v>Mrs. Adisa</v>
      </c>
      <c r="L843">
        <f>_xlfn.XLOOKUP(B843,zones_lookup!A:A,zones_lookup!C:C,"Not found")</f>
        <v>633000</v>
      </c>
    </row>
    <row r="844" spans="1:12" x14ac:dyDescent="0.3">
      <c r="A844" s="2">
        <v>45748</v>
      </c>
      <c r="B844" t="s">
        <v>27</v>
      </c>
      <c r="C844" t="s">
        <v>28</v>
      </c>
      <c r="D844">
        <v>5</v>
      </c>
      <c r="E844">
        <v>33.1</v>
      </c>
      <c r="F844">
        <v>173.4</v>
      </c>
      <c r="G844">
        <v>0</v>
      </c>
      <c r="H844">
        <v>4</v>
      </c>
      <c r="I844" t="s">
        <v>1668</v>
      </c>
      <c r="J844">
        <v>6.62</v>
      </c>
      <c r="K844" t="str">
        <f>_xlfn.XLOOKUP(B844,zones_lookup!A:A,zones_lookup!B:B,"Not found")</f>
        <v>Mr. Bello</v>
      </c>
      <c r="L844">
        <f>_xlfn.XLOOKUP(B844,zones_lookup!A:A,zones_lookup!C:C,"Not found")</f>
        <v>1288000</v>
      </c>
    </row>
    <row r="845" spans="1:12" x14ac:dyDescent="0.3">
      <c r="A845" s="2">
        <v>45970</v>
      </c>
      <c r="B845" t="s">
        <v>76</v>
      </c>
      <c r="C845" t="s">
        <v>84</v>
      </c>
      <c r="D845">
        <v>2</v>
      </c>
      <c r="E845">
        <v>15</v>
      </c>
      <c r="F845">
        <v>82.1</v>
      </c>
      <c r="G845">
        <v>0</v>
      </c>
      <c r="H845">
        <v>11</v>
      </c>
      <c r="I845" t="s">
        <v>1664</v>
      </c>
      <c r="J845">
        <v>7.5</v>
      </c>
      <c r="K845" t="str">
        <f>_xlfn.XLOOKUP(B845,zones_lookup!A:A,zones_lookup!B:B,"Not found")</f>
        <v>Mr. Adeyemi</v>
      </c>
      <c r="L845">
        <f>_xlfn.XLOOKUP(B845,zones_lookup!A:A,zones_lookup!C:C,"Not found")</f>
        <v>313000</v>
      </c>
    </row>
    <row r="846" spans="1:12" x14ac:dyDescent="0.3">
      <c r="A846" s="2">
        <v>45714</v>
      </c>
      <c r="B846" t="s">
        <v>89</v>
      </c>
      <c r="C846" t="s">
        <v>90</v>
      </c>
      <c r="D846">
        <v>5</v>
      </c>
      <c r="E846">
        <v>32.200000000000003</v>
      </c>
      <c r="F846">
        <v>179.8</v>
      </c>
      <c r="G846">
        <v>1</v>
      </c>
      <c r="H846">
        <v>2</v>
      </c>
      <c r="I846" t="s">
        <v>1665</v>
      </c>
      <c r="J846">
        <v>6.44</v>
      </c>
      <c r="K846" t="str">
        <f>_xlfn.XLOOKUP(B846,zones_lookup!A:A,zones_lookup!B:B,"Not found")</f>
        <v>Mr. Salami</v>
      </c>
      <c r="L846">
        <f>_xlfn.XLOOKUP(B846,zones_lookup!A:A,zones_lookup!C:C,"Not found")</f>
        <v>200000</v>
      </c>
    </row>
    <row r="847" spans="1:12" x14ac:dyDescent="0.3">
      <c r="A847" s="2">
        <v>45988</v>
      </c>
      <c r="B847" t="s">
        <v>76</v>
      </c>
      <c r="C847" t="s">
        <v>84</v>
      </c>
      <c r="D847">
        <v>6</v>
      </c>
      <c r="E847">
        <v>48.8</v>
      </c>
      <c r="F847">
        <v>267.3</v>
      </c>
      <c r="G847">
        <v>3</v>
      </c>
      <c r="H847">
        <v>11</v>
      </c>
      <c r="I847" t="s">
        <v>1664</v>
      </c>
      <c r="J847">
        <v>8.1333333333333329</v>
      </c>
      <c r="K847" t="str">
        <f>_xlfn.XLOOKUP(B847,zones_lookup!A:A,zones_lookup!B:B,"Not found")</f>
        <v>Mr. Adeyemi</v>
      </c>
      <c r="L847">
        <f>_xlfn.XLOOKUP(B847,zones_lookup!A:A,zones_lookup!C:C,"Not found")</f>
        <v>313000</v>
      </c>
    </row>
    <row r="848" spans="1:12" x14ac:dyDescent="0.3">
      <c r="A848" s="2">
        <v>45905</v>
      </c>
      <c r="B848" t="s">
        <v>27</v>
      </c>
      <c r="C848" t="s">
        <v>28</v>
      </c>
      <c r="D848">
        <v>6</v>
      </c>
      <c r="E848">
        <v>38.299999999999997</v>
      </c>
      <c r="F848">
        <v>209</v>
      </c>
      <c r="G848">
        <v>1</v>
      </c>
      <c r="H848">
        <v>9</v>
      </c>
      <c r="I848" t="s">
        <v>1670</v>
      </c>
      <c r="J848">
        <v>6.3833333333333329</v>
      </c>
      <c r="K848" t="str">
        <f>_xlfn.XLOOKUP(B848,zones_lookup!A:A,zones_lookup!B:B,"Not found")</f>
        <v>Mr. Bello</v>
      </c>
      <c r="L848">
        <f>_xlfn.XLOOKUP(B848,zones_lookup!A:A,zones_lookup!C:C,"Not found")</f>
        <v>1288000</v>
      </c>
    </row>
    <row r="849" spans="1:12" x14ac:dyDescent="0.3">
      <c r="A849" s="2">
        <v>46008</v>
      </c>
      <c r="B849" t="s">
        <v>49</v>
      </c>
      <c r="C849" t="s">
        <v>52</v>
      </c>
      <c r="D849">
        <v>3</v>
      </c>
      <c r="E849">
        <v>14.8</v>
      </c>
      <c r="F849">
        <v>129.4</v>
      </c>
      <c r="G849">
        <v>4</v>
      </c>
      <c r="H849">
        <v>12</v>
      </c>
      <c r="I849" t="s">
        <v>1671</v>
      </c>
      <c r="J849">
        <v>4.9333333333333336</v>
      </c>
      <c r="K849" t="str">
        <f>_xlfn.XLOOKUP(B849,zones_lookup!A:A,zones_lookup!B:B,"Not found")</f>
        <v>Mrs. Johnson</v>
      </c>
      <c r="L849">
        <f>_xlfn.XLOOKUP(B849,zones_lookup!A:A,zones_lookup!C:C,"Not found")</f>
        <v>241000</v>
      </c>
    </row>
    <row r="850" spans="1:12" x14ac:dyDescent="0.3">
      <c r="A850" s="2">
        <v>45841</v>
      </c>
      <c r="B850" t="s">
        <v>93</v>
      </c>
      <c r="C850" t="s">
        <v>101</v>
      </c>
      <c r="D850">
        <v>5</v>
      </c>
      <c r="E850">
        <v>17.100000000000001</v>
      </c>
      <c r="F850">
        <v>210.9</v>
      </c>
      <c r="G850">
        <v>4</v>
      </c>
      <c r="H850">
        <v>7</v>
      </c>
      <c r="I850" t="s">
        <v>1661</v>
      </c>
      <c r="J850">
        <v>3.4200000000000004</v>
      </c>
      <c r="K850" t="str">
        <f>_xlfn.XLOOKUP(B850,zones_lookup!A:A,zones_lookup!B:B,"Not found")</f>
        <v>Mr. Ogunleye</v>
      </c>
      <c r="L850">
        <f>_xlfn.XLOOKUP(B850,zones_lookup!A:A,zones_lookup!C:C,"Not found")</f>
        <v>181000</v>
      </c>
    </row>
    <row r="851" spans="1:12" x14ac:dyDescent="0.3">
      <c r="A851" s="2">
        <v>45669</v>
      </c>
      <c r="B851" t="s">
        <v>49</v>
      </c>
      <c r="C851" t="s">
        <v>50</v>
      </c>
      <c r="D851">
        <v>4</v>
      </c>
      <c r="E851">
        <v>13.5</v>
      </c>
      <c r="F851">
        <v>171.2</v>
      </c>
      <c r="G851">
        <v>3</v>
      </c>
      <c r="H851">
        <v>1</v>
      </c>
      <c r="I851" t="s">
        <v>1660</v>
      </c>
      <c r="J851">
        <v>3.375</v>
      </c>
      <c r="K851" t="str">
        <f>_xlfn.XLOOKUP(B851,zones_lookup!A:A,zones_lookup!B:B,"Not found")</f>
        <v>Mrs. Johnson</v>
      </c>
      <c r="L851">
        <f>_xlfn.XLOOKUP(B851,zones_lookup!A:A,zones_lookup!C:C,"Not found")</f>
        <v>241000</v>
      </c>
    </row>
    <row r="852" spans="1:12" x14ac:dyDescent="0.3">
      <c r="A852" s="2">
        <v>45864</v>
      </c>
      <c r="B852" t="s">
        <v>27</v>
      </c>
      <c r="C852" t="s">
        <v>38</v>
      </c>
      <c r="D852">
        <v>2</v>
      </c>
      <c r="E852">
        <v>14.1</v>
      </c>
      <c r="F852">
        <v>50.1</v>
      </c>
      <c r="G852">
        <v>1</v>
      </c>
      <c r="H852">
        <v>7</v>
      </c>
      <c r="I852" t="s">
        <v>1661</v>
      </c>
      <c r="J852">
        <v>7.05</v>
      </c>
      <c r="K852" t="str">
        <f>_xlfn.XLOOKUP(B852,zones_lookup!A:A,zones_lookup!B:B,"Not found")</f>
        <v>Mr. Bello</v>
      </c>
      <c r="L852">
        <f>_xlfn.XLOOKUP(B852,zones_lookup!A:A,zones_lookup!C:C,"Not found")</f>
        <v>1288000</v>
      </c>
    </row>
    <row r="853" spans="1:12" x14ac:dyDescent="0.3">
      <c r="A853" s="2">
        <v>46008</v>
      </c>
      <c r="B853" t="s">
        <v>49</v>
      </c>
      <c r="C853" t="s">
        <v>50</v>
      </c>
      <c r="D853">
        <v>5</v>
      </c>
      <c r="E853">
        <v>23</v>
      </c>
      <c r="F853">
        <v>132</v>
      </c>
      <c r="G853">
        <v>0</v>
      </c>
      <c r="H853">
        <v>12</v>
      </c>
      <c r="I853" t="s">
        <v>1671</v>
      </c>
      <c r="J853">
        <v>4.5999999999999996</v>
      </c>
      <c r="K853" t="str">
        <f>_xlfn.XLOOKUP(B853,zones_lookup!A:A,zones_lookup!B:B,"Not found")</f>
        <v>Mrs. Johnson</v>
      </c>
      <c r="L853">
        <f>_xlfn.XLOOKUP(B853,zones_lookup!A:A,zones_lookup!C:C,"Not found")</f>
        <v>241000</v>
      </c>
    </row>
    <row r="854" spans="1:12" x14ac:dyDescent="0.3">
      <c r="A854" s="2">
        <v>45858</v>
      </c>
      <c r="B854" t="s">
        <v>49</v>
      </c>
      <c r="C854" t="s">
        <v>50</v>
      </c>
      <c r="D854">
        <v>6</v>
      </c>
      <c r="E854">
        <v>19.2</v>
      </c>
      <c r="F854">
        <v>208.7</v>
      </c>
      <c r="G854">
        <v>3</v>
      </c>
      <c r="H854">
        <v>7</v>
      </c>
      <c r="I854" t="s">
        <v>1661</v>
      </c>
      <c r="J854">
        <v>3.1999999999999997</v>
      </c>
      <c r="K854" t="str">
        <f>_xlfn.XLOOKUP(B854,zones_lookup!A:A,zones_lookup!B:B,"Not found")</f>
        <v>Mrs. Johnson</v>
      </c>
      <c r="L854">
        <f>_xlfn.XLOOKUP(B854,zones_lookup!A:A,zones_lookup!C:C,"Not found")</f>
        <v>241000</v>
      </c>
    </row>
    <row r="855" spans="1:12" x14ac:dyDescent="0.3">
      <c r="A855" s="2">
        <v>45891</v>
      </c>
      <c r="B855" t="s">
        <v>93</v>
      </c>
      <c r="C855" t="s">
        <v>66</v>
      </c>
      <c r="D855">
        <v>2</v>
      </c>
      <c r="E855">
        <v>7.6</v>
      </c>
      <c r="F855">
        <v>65.7</v>
      </c>
      <c r="G855">
        <v>3</v>
      </c>
      <c r="H855">
        <v>8</v>
      </c>
      <c r="I855" t="s">
        <v>1666</v>
      </c>
      <c r="J855">
        <v>3.8</v>
      </c>
      <c r="K855" t="str">
        <f>_xlfn.XLOOKUP(B855,zones_lookup!A:A,zones_lookup!B:B,"Not found")</f>
        <v>Mr. Ogunleye</v>
      </c>
      <c r="L855">
        <f>_xlfn.XLOOKUP(B855,zones_lookup!A:A,zones_lookup!C:C,"Not found")</f>
        <v>181000</v>
      </c>
    </row>
    <row r="856" spans="1:12" x14ac:dyDescent="0.3">
      <c r="A856" s="2">
        <v>45831</v>
      </c>
      <c r="B856" t="s">
        <v>60</v>
      </c>
      <c r="C856" t="s">
        <v>61</v>
      </c>
      <c r="D856">
        <v>5</v>
      </c>
      <c r="E856">
        <v>18.899999999999999</v>
      </c>
      <c r="F856">
        <v>170</v>
      </c>
      <c r="G856">
        <v>1</v>
      </c>
      <c r="H856">
        <v>6</v>
      </c>
      <c r="I856" t="s">
        <v>1667</v>
      </c>
      <c r="J856">
        <v>3.78</v>
      </c>
      <c r="K856" t="str">
        <f>_xlfn.XLOOKUP(B856,zones_lookup!A:A,zones_lookup!B:B,"Not found")</f>
        <v>Mrs. Eze</v>
      </c>
      <c r="L856">
        <f>_xlfn.XLOOKUP(B856,zones_lookup!A:A,zones_lookup!C:C,"Not found")</f>
        <v>535000</v>
      </c>
    </row>
    <row r="857" spans="1:12" x14ac:dyDescent="0.3">
      <c r="A857" s="2">
        <v>45679</v>
      </c>
      <c r="B857" t="s">
        <v>93</v>
      </c>
      <c r="C857" t="s">
        <v>57</v>
      </c>
      <c r="D857">
        <v>6</v>
      </c>
      <c r="E857">
        <v>22</v>
      </c>
      <c r="F857">
        <v>248.7</v>
      </c>
      <c r="G857">
        <v>5</v>
      </c>
      <c r="H857">
        <v>1</v>
      </c>
      <c r="I857" t="s">
        <v>1660</v>
      </c>
      <c r="J857">
        <v>3.6666666666666665</v>
      </c>
      <c r="K857" t="str">
        <f>_xlfn.XLOOKUP(B857,zones_lookup!A:A,zones_lookup!B:B,"Not found")</f>
        <v>Mr. Ogunleye</v>
      </c>
      <c r="L857">
        <f>_xlfn.XLOOKUP(B857,zones_lookup!A:A,zones_lookup!C:C,"Not found")</f>
        <v>181000</v>
      </c>
    </row>
    <row r="858" spans="1:12" x14ac:dyDescent="0.3">
      <c r="A858" s="2">
        <v>45660</v>
      </c>
      <c r="B858" t="s">
        <v>60</v>
      </c>
      <c r="C858" t="s">
        <v>69</v>
      </c>
      <c r="D858">
        <v>3</v>
      </c>
      <c r="E858">
        <v>12.6</v>
      </c>
      <c r="F858">
        <v>93.7</v>
      </c>
      <c r="G858">
        <v>2</v>
      </c>
      <c r="H858">
        <v>1</v>
      </c>
      <c r="I858" t="s">
        <v>1660</v>
      </c>
      <c r="J858">
        <v>4.2</v>
      </c>
      <c r="K858" t="str">
        <f>_xlfn.XLOOKUP(B858,zones_lookup!A:A,zones_lookup!B:B,"Not found")</f>
        <v>Mrs. Eze</v>
      </c>
      <c r="L858">
        <f>_xlfn.XLOOKUP(B858,zones_lookup!A:A,zones_lookup!C:C,"Not found")</f>
        <v>535000</v>
      </c>
    </row>
    <row r="859" spans="1:12" x14ac:dyDescent="0.3">
      <c r="A859" s="2">
        <v>45978</v>
      </c>
      <c r="B859" t="s">
        <v>49</v>
      </c>
      <c r="C859" t="s">
        <v>52</v>
      </c>
      <c r="D859">
        <v>2</v>
      </c>
      <c r="E859">
        <v>7.4</v>
      </c>
      <c r="F859">
        <v>76.099999999999994</v>
      </c>
      <c r="G859">
        <v>2</v>
      </c>
      <c r="H859">
        <v>11</v>
      </c>
      <c r="I859" t="s">
        <v>1664</v>
      </c>
      <c r="J859">
        <v>3.7</v>
      </c>
      <c r="K859" t="str">
        <f>_xlfn.XLOOKUP(B859,zones_lookup!A:A,zones_lookup!B:B,"Not found")</f>
        <v>Mrs. Johnson</v>
      </c>
      <c r="L859">
        <f>_xlfn.XLOOKUP(B859,zones_lookup!A:A,zones_lookup!C:C,"Not found")</f>
        <v>241000</v>
      </c>
    </row>
    <row r="860" spans="1:12" x14ac:dyDescent="0.3">
      <c r="A860" s="2">
        <v>45784</v>
      </c>
      <c r="B860" t="s">
        <v>49</v>
      </c>
      <c r="C860" t="s">
        <v>50</v>
      </c>
      <c r="D860">
        <v>2</v>
      </c>
      <c r="E860">
        <v>9.6</v>
      </c>
      <c r="F860">
        <v>71.2</v>
      </c>
      <c r="G860">
        <v>2</v>
      </c>
      <c r="H860">
        <v>5</v>
      </c>
      <c r="I860" t="s">
        <v>1663</v>
      </c>
      <c r="J860">
        <v>4.8</v>
      </c>
      <c r="K860" t="str">
        <f>_xlfn.XLOOKUP(B860,zones_lookup!A:A,zones_lookup!B:B,"Not found")</f>
        <v>Mrs. Johnson</v>
      </c>
      <c r="L860">
        <f>_xlfn.XLOOKUP(B860,zones_lookup!A:A,zones_lookup!C:C,"Not found")</f>
        <v>241000</v>
      </c>
    </row>
    <row r="861" spans="1:12" x14ac:dyDescent="0.3">
      <c r="A861" s="2">
        <v>45966</v>
      </c>
      <c r="B861" t="s">
        <v>76</v>
      </c>
      <c r="C861" t="s">
        <v>84</v>
      </c>
      <c r="D861">
        <v>6</v>
      </c>
      <c r="E861">
        <v>47.5</v>
      </c>
      <c r="F861">
        <v>192.9</v>
      </c>
      <c r="G861">
        <v>0</v>
      </c>
      <c r="H861">
        <v>11</v>
      </c>
      <c r="I861" t="s">
        <v>1664</v>
      </c>
      <c r="J861">
        <v>7.916666666666667</v>
      </c>
      <c r="K861" t="str">
        <f>_xlfn.XLOOKUP(B861,zones_lookup!A:A,zones_lookup!B:B,"Not found")</f>
        <v>Mr. Adeyemi</v>
      </c>
      <c r="L861">
        <f>_xlfn.XLOOKUP(B861,zones_lookup!A:A,zones_lookup!C:C,"Not found")</f>
        <v>313000</v>
      </c>
    </row>
    <row r="862" spans="1:12" x14ac:dyDescent="0.3">
      <c r="A862" s="2">
        <v>45818</v>
      </c>
      <c r="B862" t="s">
        <v>108</v>
      </c>
      <c r="C862" t="s">
        <v>208</v>
      </c>
      <c r="D862">
        <v>2</v>
      </c>
      <c r="E862">
        <v>14.5</v>
      </c>
      <c r="F862">
        <v>69</v>
      </c>
      <c r="G862">
        <v>1</v>
      </c>
      <c r="H862">
        <v>6</v>
      </c>
      <c r="I862" t="s">
        <v>1667</v>
      </c>
      <c r="J862">
        <v>7.25</v>
      </c>
      <c r="K862" t="str">
        <f>_xlfn.XLOOKUP(B862,zones_lookup!A:A,zones_lookup!B:B,"Not found")</f>
        <v>Mrs. Okafor</v>
      </c>
      <c r="L862">
        <f>_xlfn.XLOOKUP(B862,zones_lookup!A:A,zones_lookup!C:C,"Not found")</f>
        <v>503000</v>
      </c>
    </row>
    <row r="863" spans="1:12" x14ac:dyDescent="0.3">
      <c r="A863" s="2">
        <v>45789</v>
      </c>
      <c r="B863" t="s">
        <v>93</v>
      </c>
      <c r="C863" t="s">
        <v>57</v>
      </c>
      <c r="D863">
        <v>5</v>
      </c>
      <c r="E863">
        <v>20</v>
      </c>
      <c r="F863">
        <v>225.6</v>
      </c>
      <c r="G863">
        <v>1</v>
      </c>
      <c r="H863">
        <v>5</v>
      </c>
      <c r="I863" t="s">
        <v>1663</v>
      </c>
      <c r="J863">
        <v>4</v>
      </c>
      <c r="K863" t="str">
        <f>_xlfn.XLOOKUP(B863,zones_lookup!A:A,zones_lookup!B:B,"Not found")</f>
        <v>Mr. Ogunleye</v>
      </c>
      <c r="L863">
        <f>_xlfn.XLOOKUP(B863,zones_lookup!A:A,zones_lookup!C:C,"Not found")</f>
        <v>181000</v>
      </c>
    </row>
    <row r="864" spans="1:12" x14ac:dyDescent="0.3">
      <c r="A864" s="2">
        <v>45999</v>
      </c>
      <c r="B864" t="s">
        <v>76</v>
      </c>
      <c r="C864" t="s">
        <v>84</v>
      </c>
      <c r="D864">
        <v>6</v>
      </c>
      <c r="E864">
        <v>60.7</v>
      </c>
      <c r="F864">
        <v>279.7</v>
      </c>
      <c r="G864">
        <v>0</v>
      </c>
      <c r="H864">
        <v>12</v>
      </c>
      <c r="I864" t="s">
        <v>1671</v>
      </c>
      <c r="J864">
        <v>10.116666666666667</v>
      </c>
      <c r="K864" t="str">
        <f>_xlfn.XLOOKUP(B864,zones_lookup!A:A,zones_lookup!B:B,"Not found")</f>
        <v>Mr. Adeyemi</v>
      </c>
      <c r="L864">
        <f>_xlfn.XLOOKUP(B864,zones_lookup!A:A,zones_lookup!C:C,"Not found")</f>
        <v>313000</v>
      </c>
    </row>
    <row r="865" spans="1:12" x14ac:dyDescent="0.3">
      <c r="A865" s="2">
        <v>45852</v>
      </c>
      <c r="B865" t="s">
        <v>27</v>
      </c>
      <c r="C865" t="s">
        <v>38</v>
      </c>
      <c r="D865">
        <v>3</v>
      </c>
      <c r="E865">
        <v>22.1</v>
      </c>
      <c r="F865">
        <v>114</v>
      </c>
      <c r="G865">
        <v>2</v>
      </c>
      <c r="H865">
        <v>7</v>
      </c>
      <c r="I865" t="s">
        <v>1661</v>
      </c>
      <c r="J865">
        <v>7.3666666666666671</v>
      </c>
      <c r="K865" t="str">
        <f>_xlfn.XLOOKUP(B865,zones_lookup!A:A,zones_lookup!B:B,"Not found")</f>
        <v>Mr. Bello</v>
      </c>
      <c r="L865">
        <f>_xlfn.XLOOKUP(B865,zones_lookup!A:A,zones_lookup!C:C,"Not found")</f>
        <v>1288000</v>
      </c>
    </row>
    <row r="866" spans="1:12" x14ac:dyDescent="0.3">
      <c r="A866" s="2">
        <v>45736</v>
      </c>
      <c r="B866" t="s">
        <v>27</v>
      </c>
      <c r="C866" t="s">
        <v>34</v>
      </c>
      <c r="D866">
        <v>4</v>
      </c>
      <c r="E866">
        <v>24.6</v>
      </c>
      <c r="F866">
        <v>133.5</v>
      </c>
      <c r="G866">
        <v>0</v>
      </c>
      <c r="H866">
        <v>3</v>
      </c>
      <c r="I866" t="s">
        <v>1662</v>
      </c>
      <c r="J866">
        <v>6.15</v>
      </c>
      <c r="K866" t="str">
        <f>_xlfn.XLOOKUP(B866,zones_lookup!A:A,zones_lookup!B:B,"Not found")</f>
        <v>Mr. Bello</v>
      </c>
      <c r="L866">
        <f>_xlfn.XLOOKUP(B866,zones_lookup!A:A,zones_lookup!C:C,"Not found")</f>
        <v>1288000</v>
      </c>
    </row>
    <row r="867" spans="1:12" x14ac:dyDescent="0.3">
      <c r="A867" s="2">
        <v>45791</v>
      </c>
      <c r="B867" t="s">
        <v>76</v>
      </c>
      <c r="C867" t="s">
        <v>84</v>
      </c>
      <c r="D867">
        <v>2</v>
      </c>
      <c r="E867">
        <v>14.2</v>
      </c>
      <c r="F867">
        <v>79.2</v>
      </c>
      <c r="G867">
        <v>1</v>
      </c>
      <c r="H867">
        <v>5</v>
      </c>
      <c r="I867" t="s">
        <v>1663</v>
      </c>
      <c r="J867">
        <v>7.1</v>
      </c>
      <c r="K867" t="str">
        <f>_xlfn.XLOOKUP(B867,zones_lookup!A:A,zones_lookup!B:B,"Not found")</f>
        <v>Mr. Adeyemi</v>
      </c>
      <c r="L867">
        <f>_xlfn.XLOOKUP(B867,zones_lookup!A:A,zones_lookup!C:C,"Not found")</f>
        <v>313000</v>
      </c>
    </row>
    <row r="868" spans="1:12" x14ac:dyDescent="0.3">
      <c r="A868" s="2">
        <v>45793</v>
      </c>
      <c r="B868" t="s">
        <v>49</v>
      </c>
      <c r="C868" t="s">
        <v>50</v>
      </c>
      <c r="D868">
        <v>2</v>
      </c>
      <c r="E868">
        <v>6.8</v>
      </c>
      <c r="F868">
        <v>84</v>
      </c>
      <c r="G868">
        <v>2</v>
      </c>
      <c r="H868">
        <v>5</v>
      </c>
      <c r="I868" t="s">
        <v>1663</v>
      </c>
      <c r="J868">
        <v>3.4</v>
      </c>
      <c r="K868" t="str">
        <f>_xlfn.XLOOKUP(B868,zones_lookup!A:A,zones_lookup!B:B,"Not found")</f>
        <v>Mrs. Johnson</v>
      </c>
      <c r="L868">
        <f>_xlfn.XLOOKUP(B868,zones_lookup!A:A,zones_lookup!C:C,"Not found")</f>
        <v>241000</v>
      </c>
    </row>
    <row r="869" spans="1:12" x14ac:dyDescent="0.3">
      <c r="A869" s="2">
        <v>45849</v>
      </c>
      <c r="B869" t="s">
        <v>27</v>
      </c>
      <c r="C869" t="s">
        <v>28</v>
      </c>
      <c r="D869">
        <v>4</v>
      </c>
      <c r="E869">
        <v>24.3</v>
      </c>
      <c r="F869">
        <v>158.6</v>
      </c>
      <c r="G869">
        <v>1</v>
      </c>
      <c r="H869">
        <v>7</v>
      </c>
      <c r="I869" t="s">
        <v>1661</v>
      </c>
      <c r="J869">
        <v>6.0750000000000002</v>
      </c>
      <c r="K869" t="str">
        <f>_xlfn.XLOOKUP(B869,zones_lookup!A:A,zones_lookup!B:B,"Not found")</f>
        <v>Mr. Bello</v>
      </c>
      <c r="L869">
        <f>_xlfn.XLOOKUP(B869,zones_lookup!A:A,zones_lookup!C:C,"Not found")</f>
        <v>1288000</v>
      </c>
    </row>
    <row r="870" spans="1:12" x14ac:dyDescent="0.3">
      <c r="A870" s="2">
        <v>45911</v>
      </c>
      <c r="B870" t="s">
        <v>89</v>
      </c>
      <c r="C870" t="s">
        <v>90</v>
      </c>
      <c r="D870">
        <v>3</v>
      </c>
      <c r="E870">
        <v>16.5</v>
      </c>
      <c r="F870">
        <v>126.8</v>
      </c>
      <c r="G870">
        <v>0</v>
      </c>
      <c r="H870">
        <v>9</v>
      </c>
      <c r="I870" t="s">
        <v>1670</v>
      </c>
      <c r="J870">
        <v>5.5</v>
      </c>
      <c r="K870" t="str">
        <f>_xlfn.XLOOKUP(B870,zones_lookup!A:A,zones_lookup!B:B,"Not found")</f>
        <v>Mr. Salami</v>
      </c>
      <c r="L870">
        <f>_xlfn.XLOOKUP(B870,zones_lookup!A:A,zones_lookup!C:C,"Not found")</f>
        <v>200000</v>
      </c>
    </row>
    <row r="871" spans="1:12" x14ac:dyDescent="0.3">
      <c r="A871" s="2">
        <v>45844</v>
      </c>
      <c r="B871" t="s">
        <v>93</v>
      </c>
      <c r="C871" t="s">
        <v>101</v>
      </c>
      <c r="D871">
        <v>2</v>
      </c>
      <c r="E871">
        <v>6.5</v>
      </c>
      <c r="F871">
        <v>91.7</v>
      </c>
      <c r="G871">
        <v>4</v>
      </c>
      <c r="H871">
        <v>7</v>
      </c>
      <c r="I871" t="s">
        <v>1661</v>
      </c>
      <c r="J871">
        <v>3.25</v>
      </c>
      <c r="K871" t="str">
        <f>_xlfn.XLOOKUP(B871,zones_lookup!A:A,zones_lookup!B:B,"Not found")</f>
        <v>Mr. Ogunleye</v>
      </c>
      <c r="L871">
        <f>_xlfn.XLOOKUP(B871,zones_lookup!A:A,zones_lookup!C:C,"Not found")</f>
        <v>181000</v>
      </c>
    </row>
    <row r="872" spans="1:12" x14ac:dyDescent="0.3">
      <c r="A872" s="2">
        <v>45826</v>
      </c>
      <c r="B872" t="s">
        <v>27</v>
      </c>
      <c r="C872" t="s">
        <v>28</v>
      </c>
      <c r="D872">
        <v>4</v>
      </c>
      <c r="E872">
        <v>23.1</v>
      </c>
      <c r="G872">
        <v>1</v>
      </c>
      <c r="H872">
        <v>6</v>
      </c>
      <c r="I872" t="s">
        <v>1667</v>
      </c>
      <c r="J872">
        <v>5.7750000000000004</v>
      </c>
      <c r="K872" t="str">
        <f>_xlfn.XLOOKUP(B872,zones_lookup!A:A,zones_lookup!B:B,"Not found")</f>
        <v>Mr. Bello</v>
      </c>
      <c r="L872">
        <f>_xlfn.XLOOKUP(B872,zones_lookup!A:A,zones_lookup!C:C,"Not found")</f>
        <v>1288000</v>
      </c>
    </row>
    <row r="873" spans="1:12" x14ac:dyDescent="0.3">
      <c r="A873" s="2">
        <v>45991</v>
      </c>
      <c r="B873" t="s">
        <v>49</v>
      </c>
      <c r="C873" t="s">
        <v>52</v>
      </c>
      <c r="D873">
        <v>2</v>
      </c>
      <c r="E873">
        <v>7.8</v>
      </c>
      <c r="F873">
        <v>76.400000000000006</v>
      </c>
      <c r="G873">
        <v>3</v>
      </c>
      <c r="H873">
        <v>11</v>
      </c>
      <c r="I873" t="s">
        <v>1664</v>
      </c>
      <c r="J873">
        <v>3.9</v>
      </c>
      <c r="K873" t="str">
        <f>_xlfn.XLOOKUP(B873,zones_lookup!A:A,zones_lookup!B:B,"Not found")</f>
        <v>Mrs. Johnson</v>
      </c>
      <c r="L873">
        <f>_xlfn.XLOOKUP(B873,zones_lookup!A:A,zones_lookup!C:C,"Not found")</f>
        <v>241000</v>
      </c>
    </row>
    <row r="874" spans="1:12" x14ac:dyDescent="0.3">
      <c r="A874" s="2">
        <v>45957</v>
      </c>
      <c r="B874" t="s">
        <v>27</v>
      </c>
      <c r="C874" t="s">
        <v>38</v>
      </c>
      <c r="D874">
        <v>6</v>
      </c>
      <c r="E874">
        <v>50.2</v>
      </c>
      <c r="F874">
        <v>207.6</v>
      </c>
      <c r="G874">
        <v>4</v>
      </c>
      <c r="H874">
        <v>10</v>
      </c>
      <c r="I874" t="s">
        <v>1669</v>
      </c>
      <c r="J874">
        <v>8.3666666666666671</v>
      </c>
      <c r="K874" t="str">
        <f>_xlfn.XLOOKUP(B874,zones_lookup!A:A,zones_lookup!B:B,"Not found")</f>
        <v>Mr. Bello</v>
      </c>
      <c r="L874">
        <f>_xlfn.XLOOKUP(B874,zones_lookup!A:A,zones_lookup!C:C,"Not found")</f>
        <v>1288000</v>
      </c>
    </row>
    <row r="875" spans="1:12" x14ac:dyDescent="0.3">
      <c r="A875" s="2">
        <v>45682</v>
      </c>
      <c r="B875" t="s">
        <v>49</v>
      </c>
      <c r="C875" t="s">
        <v>50</v>
      </c>
      <c r="D875">
        <v>3</v>
      </c>
      <c r="E875">
        <v>11.4</v>
      </c>
      <c r="F875">
        <v>124.6</v>
      </c>
      <c r="G875">
        <v>1</v>
      </c>
      <c r="H875">
        <v>1</v>
      </c>
      <c r="I875" t="s">
        <v>1660</v>
      </c>
      <c r="J875">
        <v>3.8000000000000003</v>
      </c>
      <c r="K875" t="str">
        <f>_xlfn.XLOOKUP(B875,zones_lookup!A:A,zones_lookup!B:B,"Not found")</f>
        <v>Mrs. Johnson</v>
      </c>
      <c r="L875">
        <f>_xlfn.XLOOKUP(B875,zones_lookup!A:A,zones_lookup!C:C,"Not found")</f>
        <v>241000</v>
      </c>
    </row>
    <row r="876" spans="1:12" x14ac:dyDescent="0.3">
      <c r="A876" s="2">
        <v>45848</v>
      </c>
      <c r="B876" t="s">
        <v>49</v>
      </c>
      <c r="C876" t="s">
        <v>50</v>
      </c>
      <c r="D876">
        <v>5</v>
      </c>
      <c r="E876">
        <v>16.7</v>
      </c>
      <c r="F876">
        <v>225.2</v>
      </c>
      <c r="G876">
        <v>3</v>
      </c>
      <c r="H876">
        <v>7</v>
      </c>
      <c r="I876" t="s">
        <v>1661</v>
      </c>
      <c r="J876">
        <v>3.34</v>
      </c>
      <c r="K876" t="str">
        <f>_xlfn.XLOOKUP(B876,zones_lookup!A:A,zones_lookup!B:B,"Not found")</f>
        <v>Mrs. Johnson</v>
      </c>
      <c r="L876">
        <f>_xlfn.XLOOKUP(B876,zones_lookup!A:A,zones_lookup!C:C,"Not found")</f>
        <v>241000</v>
      </c>
    </row>
    <row r="877" spans="1:12" x14ac:dyDescent="0.3">
      <c r="A877" s="2">
        <v>45727</v>
      </c>
      <c r="B877" t="s">
        <v>108</v>
      </c>
      <c r="C877" t="s">
        <v>169</v>
      </c>
      <c r="D877">
        <v>4</v>
      </c>
      <c r="E877">
        <v>25.5</v>
      </c>
      <c r="F877">
        <v>132.30000000000001</v>
      </c>
      <c r="G877">
        <v>2</v>
      </c>
      <c r="H877">
        <v>3</v>
      </c>
      <c r="I877" t="s">
        <v>1662</v>
      </c>
      <c r="J877">
        <v>6.375</v>
      </c>
      <c r="K877" t="str">
        <f>_xlfn.XLOOKUP(B877,zones_lookup!A:A,zones_lookup!B:B,"Not found")</f>
        <v>Mrs. Okafor</v>
      </c>
      <c r="L877">
        <f>_xlfn.XLOOKUP(B877,zones_lookup!A:A,zones_lookup!C:C,"Not found")</f>
        <v>503000</v>
      </c>
    </row>
    <row r="878" spans="1:12" x14ac:dyDescent="0.3">
      <c r="A878" s="2">
        <v>45730</v>
      </c>
      <c r="B878" t="s">
        <v>60</v>
      </c>
      <c r="C878" t="s">
        <v>69</v>
      </c>
      <c r="D878">
        <v>4</v>
      </c>
      <c r="E878">
        <v>19.399999999999999</v>
      </c>
      <c r="F878">
        <v>130.9</v>
      </c>
      <c r="G878">
        <v>1</v>
      </c>
      <c r="H878">
        <v>3</v>
      </c>
      <c r="I878" t="s">
        <v>1662</v>
      </c>
      <c r="J878">
        <v>4.8499999999999996</v>
      </c>
      <c r="K878" t="str">
        <f>_xlfn.XLOOKUP(B878,zones_lookup!A:A,zones_lookup!B:B,"Not found")</f>
        <v>Mrs. Eze</v>
      </c>
      <c r="L878">
        <f>_xlfn.XLOOKUP(B878,zones_lookup!A:A,zones_lookup!C:C,"Not found")</f>
        <v>535000</v>
      </c>
    </row>
    <row r="879" spans="1:12" x14ac:dyDescent="0.3">
      <c r="A879" s="2">
        <v>45688</v>
      </c>
      <c r="B879" t="s">
        <v>27</v>
      </c>
      <c r="C879" t="s">
        <v>31</v>
      </c>
      <c r="D879">
        <v>3</v>
      </c>
      <c r="E879">
        <v>21.6</v>
      </c>
      <c r="F879">
        <v>125</v>
      </c>
      <c r="G879">
        <v>0</v>
      </c>
      <c r="H879">
        <v>1</v>
      </c>
      <c r="I879" t="s">
        <v>1660</v>
      </c>
      <c r="J879">
        <v>7.2</v>
      </c>
      <c r="K879" t="str">
        <f>_xlfn.XLOOKUP(B879,zones_lookup!A:A,zones_lookup!B:B,"Not found")</f>
        <v>Mr. Bello</v>
      </c>
      <c r="L879">
        <f>_xlfn.XLOOKUP(B879,zones_lookup!A:A,zones_lookup!C:C,"Not found")</f>
        <v>1288000</v>
      </c>
    </row>
    <row r="880" spans="1:12" x14ac:dyDescent="0.3">
      <c r="A880" s="2">
        <v>45906</v>
      </c>
      <c r="B880" t="s">
        <v>89</v>
      </c>
      <c r="C880" t="s">
        <v>90</v>
      </c>
      <c r="D880">
        <v>5</v>
      </c>
      <c r="E880">
        <v>35</v>
      </c>
      <c r="F880">
        <v>224.8</v>
      </c>
      <c r="G880">
        <v>0</v>
      </c>
      <c r="H880">
        <v>9</v>
      </c>
      <c r="I880" t="s">
        <v>1670</v>
      </c>
      <c r="J880">
        <v>7</v>
      </c>
      <c r="K880" t="str">
        <f>_xlfn.XLOOKUP(B880,zones_lookup!A:A,zones_lookup!B:B,"Not found")</f>
        <v>Mr. Salami</v>
      </c>
      <c r="L880">
        <f>_xlfn.XLOOKUP(B880,zones_lookup!A:A,zones_lookup!C:C,"Not found")</f>
        <v>200000</v>
      </c>
    </row>
    <row r="881" spans="1:12" x14ac:dyDescent="0.3">
      <c r="A881" s="2">
        <v>46006</v>
      </c>
      <c r="B881" t="s">
        <v>76</v>
      </c>
      <c r="C881" t="s">
        <v>84</v>
      </c>
      <c r="D881">
        <v>5</v>
      </c>
      <c r="E881">
        <v>34.9</v>
      </c>
      <c r="F881">
        <v>188.5</v>
      </c>
      <c r="G881">
        <v>1</v>
      </c>
      <c r="H881">
        <v>12</v>
      </c>
      <c r="I881" t="s">
        <v>1671</v>
      </c>
      <c r="J881">
        <v>6.9799999999999995</v>
      </c>
      <c r="K881" t="str">
        <f>_xlfn.XLOOKUP(B881,zones_lookup!A:A,zones_lookup!B:B,"Not found")</f>
        <v>Mr. Adeyemi</v>
      </c>
      <c r="L881">
        <f>_xlfn.XLOOKUP(B881,zones_lookup!A:A,zones_lookup!C:C,"Not found")</f>
        <v>313000</v>
      </c>
    </row>
    <row r="882" spans="1:12" x14ac:dyDescent="0.3">
      <c r="A882" s="2">
        <v>45771</v>
      </c>
      <c r="B882" t="s">
        <v>27</v>
      </c>
      <c r="C882" t="s">
        <v>38</v>
      </c>
      <c r="D882">
        <v>6</v>
      </c>
      <c r="E882">
        <v>47.2</v>
      </c>
      <c r="F882">
        <v>241</v>
      </c>
      <c r="G882">
        <v>0</v>
      </c>
      <c r="H882">
        <v>4</v>
      </c>
      <c r="I882" t="s">
        <v>1668</v>
      </c>
      <c r="J882">
        <v>7.8666666666666671</v>
      </c>
      <c r="K882" t="str">
        <f>_xlfn.XLOOKUP(B882,zones_lookup!A:A,zones_lookup!B:B,"Not found")</f>
        <v>Mr. Bello</v>
      </c>
      <c r="L882">
        <f>_xlfn.XLOOKUP(B882,zones_lookup!A:A,zones_lookup!C:C,"Not found")</f>
        <v>1288000</v>
      </c>
    </row>
    <row r="883" spans="1:12" x14ac:dyDescent="0.3">
      <c r="A883" s="2">
        <v>45689</v>
      </c>
      <c r="B883" t="s">
        <v>41</v>
      </c>
      <c r="C883" t="s">
        <v>46</v>
      </c>
      <c r="D883">
        <v>6</v>
      </c>
      <c r="E883">
        <v>39.299999999999997</v>
      </c>
      <c r="F883">
        <v>160.69999999999999</v>
      </c>
      <c r="G883">
        <v>0</v>
      </c>
      <c r="H883">
        <v>2</v>
      </c>
      <c r="I883" t="s">
        <v>1665</v>
      </c>
      <c r="J883">
        <v>6.55</v>
      </c>
      <c r="K883" t="str">
        <f>_xlfn.XLOOKUP(B883,zones_lookup!A:A,zones_lookup!B:B,"Not found")</f>
        <v>Mrs. Adisa</v>
      </c>
      <c r="L883">
        <f>_xlfn.XLOOKUP(B883,zones_lookup!A:A,zones_lookup!C:C,"Not found")</f>
        <v>633000</v>
      </c>
    </row>
    <row r="884" spans="1:12" x14ac:dyDescent="0.3">
      <c r="A884" s="2">
        <v>45921</v>
      </c>
      <c r="B884" t="s">
        <v>93</v>
      </c>
      <c r="C884" t="s">
        <v>57</v>
      </c>
      <c r="D884">
        <v>6</v>
      </c>
      <c r="E884">
        <v>20.9</v>
      </c>
      <c r="F884">
        <v>200.1</v>
      </c>
      <c r="G884">
        <v>1</v>
      </c>
      <c r="H884">
        <v>9</v>
      </c>
      <c r="I884" t="s">
        <v>1670</v>
      </c>
      <c r="J884">
        <v>3.4833333333333329</v>
      </c>
      <c r="K884" t="str">
        <f>_xlfn.XLOOKUP(B884,zones_lookup!A:A,zones_lookup!B:B,"Not found")</f>
        <v>Mr. Ogunleye</v>
      </c>
      <c r="L884">
        <f>_xlfn.XLOOKUP(B884,zones_lookup!A:A,zones_lookup!C:C,"Not found")</f>
        <v>181000</v>
      </c>
    </row>
    <row r="885" spans="1:12" x14ac:dyDescent="0.3">
      <c r="A885" s="2">
        <v>45726</v>
      </c>
      <c r="B885" t="s">
        <v>60</v>
      </c>
      <c r="C885" t="s">
        <v>69</v>
      </c>
      <c r="D885">
        <v>2</v>
      </c>
      <c r="E885">
        <v>8</v>
      </c>
      <c r="F885">
        <v>95.2</v>
      </c>
      <c r="G885">
        <v>3</v>
      </c>
      <c r="H885">
        <v>3</v>
      </c>
      <c r="I885" t="s">
        <v>1662</v>
      </c>
      <c r="J885">
        <v>4</v>
      </c>
      <c r="K885" t="str">
        <f>_xlfn.XLOOKUP(B885,zones_lookup!A:A,zones_lookup!B:B,"Not found")</f>
        <v>Mrs. Eze</v>
      </c>
      <c r="L885">
        <f>_xlfn.XLOOKUP(B885,zones_lookup!A:A,zones_lookup!C:C,"Not found")</f>
        <v>535000</v>
      </c>
    </row>
    <row r="886" spans="1:12" x14ac:dyDescent="0.3">
      <c r="A886" s="2">
        <v>45908</v>
      </c>
      <c r="B886" t="s">
        <v>108</v>
      </c>
      <c r="C886" t="s">
        <v>208</v>
      </c>
      <c r="D886">
        <v>6</v>
      </c>
      <c r="E886">
        <v>34.4</v>
      </c>
      <c r="F886">
        <v>230.1</v>
      </c>
      <c r="G886">
        <v>1</v>
      </c>
      <c r="H886">
        <v>9</v>
      </c>
      <c r="I886" t="s">
        <v>1670</v>
      </c>
      <c r="J886">
        <v>5.7333333333333334</v>
      </c>
      <c r="K886" t="str">
        <f>_xlfn.XLOOKUP(B886,zones_lookup!A:A,zones_lookup!B:B,"Not found")</f>
        <v>Mrs. Okafor</v>
      </c>
      <c r="L886">
        <f>_xlfn.XLOOKUP(B886,zones_lookup!A:A,zones_lookup!C:C,"Not found")</f>
        <v>503000</v>
      </c>
    </row>
    <row r="887" spans="1:12" x14ac:dyDescent="0.3">
      <c r="A887" s="2">
        <v>45659</v>
      </c>
      <c r="B887" t="s">
        <v>27</v>
      </c>
      <c r="C887" t="s">
        <v>31</v>
      </c>
      <c r="D887">
        <v>4</v>
      </c>
      <c r="E887">
        <v>23.7</v>
      </c>
      <c r="F887">
        <v>166.3</v>
      </c>
      <c r="G887">
        <v>1</v>
      </c>
      <c r="H887">
        <v>1</v>
      </c>
      <c r="I887" t="s">
        <v>1660</v>
      </c>
      <c r="J887">
        <v>5.9249999999999998</v>
      </c>
      <c r="K887" t="str">
        <f>_xlfn.XLOOKUP(B887,zones_lookup!A:A,zones_lookup!B:B,"Not found")</f>
        <v>Mr. Bello</v>
      </c>
      <c r="L887">
        <f>_xlfn.XLOOKUP(B887,zones_lookup!A:A,zones_lookup!C:C,"Not found")</f>
        <v>1288000</v>
      </c>
    </row>
    <row r="888" spans="1:12" x14ac:dyDescent="0.3">
      <c r="A888" s="2">
        <v>45729</v>
      </c>
      <c r="B888" t="s">
        <v>27</v>
      </c>
      <c r="C888" t="s">
        <v>38</v>
      </c>
      <c r="D888">
        <v>5</v>
      </c>
      <c r="E888">
        <v>32.4</v>
      </c>
      <c r="F888">
        <v>158.80000000000001</v>
      </c>
      <c r="G888">
        <v>1</v>
      </c>
      <c r="H888">
        <v>3</v>
      </c>
      <c r="I888" t="s">
        <v>1662</v>
      </c>
      <c r="J888">
        <v>6.4799999999999995</v>
      </c>
      <c r="K888" t="str">
        <f>_xlfn.XLOOKUP(B888,zones_lookup!A:A,zones_lookup!B:B,"Not found")</f>
        <v>Mr. Bello</v>
      </c>
      <c r="L888">
        <f>_xlfn.XLOOKUP(B888,zones_lookup!A:A,zones_lookup!C:C,"Not found")</f>
        <v>1288000</v>
      </c>
    </row>
    <row r="889" spans="1:12" x14ac:dyDescent="0.3">
      <c r="A889" s="2">
        <v>45925</v>
      </c>
      <c r="B889" t="s">
        <v>108</v>
      </c>
      <c r="C889" t="s">
        <v>169</v>
      </c>
      <c r="D889">
        <v>2</v>
      </c>
      <c r="E889">
        <v>11.5</v>
      </c>
      <c r="F889">
        <v>88.5</v>
      </c>
      <c r="G889">
        <v>4</v>
      </c>
      <c r="H889">
        <v>9</v>
      </c>
      <c r="I889" t="s">
        <v>1670</v>
      </c>
      <c r="J889">
        <v>5.75</v>
      </c>
      <c r="K889" t="str">
        <f>_xlfn.XLOOKUP(B889,zones_lookup!A:A,zones_lookup!B:B,"Not found")</f>
        <v>Mrs. Okafor</v>
      </c>
      <c r="L889">
        <f>_xlfn.XLOOKUP(B889,zones_lookup!A:A,zones_lookup!C:C,"Not found")</f>
        <v>503000</v>
      </c>
    </row>
    <row r="890" spans="1:12" x14ac:dyDescent="0.3">
      <c r="A890" s="2">
        <v>45734</v>
      </c>
      <c r="B890" t="s">
        <v>49</v>
      </c>
      <c r="C890" t="s">
        <v>50</v>
      </c>
      <c r="D890">
        <v>2</v>
      </c>
      <c r="E890">
        <v>8.6999999999999993</v>
      </c>
      <c r="F890">
        <v>67.7</v>
      </c>
      <c r="G890">
        <v>0</v>
      </c>
      <c r="H890">
        <v>3</v>
      </c>
      <c r="I890" t="s">
        <v>1662</v>
      </c>
      <c r="J890">
        <v>4.3499999999999996</v>
      </c>
      <c r="K890" t="str">
        <f>_xlfn.XLOOKUP(B890,zones_lookup!A:A,zones_lookup!B:B,"Not found")</f>
        <v>Mrs. Johnson</v>
      </c>
      <c r="L890">
        <f>_xlfn.XLOOKUP(B890,zones_lookup!A:A,zones_lookup!C:C,"Not found")</f>
        <v>241000</v>
      </c>
    </row>
    <row r="891" spans="1:12" x14ac:dyDescent="0.3">
      <c r="A891" s="2">
        <v>45706</v>
      </c>
      <c r="B891" t="s">
        <v>76</v>
      </c>
      <c r="C891" t="s">
        <v>77</v>
      </c>
      <c r="D891">
        <v>4</v>
      </c>
      <c r="E891">
        <v>23.1</v>
      </c>
      <c r="F891">
        <v>153.5</v>
      </c>
      <c r="G891">
        <v>3</v>
      </c>
      <c r="H891">
        <v>2</v>
      </c>
      <c r="I891" t="s">
        <v>1665</v>
      </c>
      <c r="J891">
        <v>5.7750000000000004</v>
      </c>
      <c r="K891" t="str">
        <f>_xlfn.XLOOKUP(B891,zones_lookup!A:A,zones_lookup!B:B,"Not found")</f>
        <v>Mr. Adeyemi</v>
      </c>
      <c r="L891">
        <f>_xlfn.XLOOKUP(B891,zones_lookup!A:A,zones_lookup!C:C,"Not found")</f>
        <v>313000</v>
      </c>
    </row>
    <row r="892" spans="1:12" x14ac:dyDescent="0.3">
      <c r="A892" s="2">
        <v>45804</v>
      </c>
      <c r="B892" t="s">
        <v>60</v>
      </c>
      <c r="C892" t="s">
        <v>69</v>
      </c>
      <c r="D892">
        <v>6</v>
      </c>
      <c r="E892">
        <v>28.8</v>
      </c>
      <c r="F892">
        <v>208</v>
      </c>
      <c r="G892">
        <v>3</v>
      </c>
      <c r="H892">
        <v>5</v>
      </c>
      <c r="I892" t="s">
        <v>1663</v>
      </c>
      <c r="J892">
        <v>4.8</v>
      </c>
      <c r="K892" t="str">
        <f>_xlfn.XLOOKUP(B892,zones_lookup!A:A,zones_lookup!B:B,"Not found")</f>
        <v>Mrs. Eze</v>
      </c>
      <c r="L892">
        <f>_xlfn.XLOOKUP(B892,zones_lookup!A:A,zones_lookup!C:C,"Not found")</f>
        <v>535000</v>
      </c>
    </row>
    <row r="893" spans="1:12" x14ac:dyDescent="0.3">
      <c r="A893" s="2">
        <v>46010</v>
      </c>
      <c r="B893" t="s">
        <v>76</v>
      </c>
      <c r="C893" t="s">
        <v>80</v>
      </c>
      <c r="D893">
        <v>2</v>
      </c>
      <c r="E893">
        <v>15.2</v>
      </c>
      <c r="F893">
        <v>73.099999999999994</v>
      </c>
      <c r="G893">
        <v>2</v>
      </c>
      <c r="H893">
        <v>12</v>
      </c>
      <c r="I893" t="s">
        <v>1671</v>
      </c>
      <c r="J893">
        <v>7.6</v>
      </c>
      <c r="K893" t="str">
        <f>_xlfn.XLOOKUP(B893,zones_lookup!A:A,zones_lookup!B:B,"Not found")</f>
        <v>Mr. Adeyemi</v>
      </c>
      <c r="L893">
        <f>_xlfn.XLOOKUP(B893,zones_lookup!A:A,zones_lookup!C:C,"Not found")</f>
        <v>313000</v>
      </c>
    </row>
    <row r="894" spans="1:12" x14ac:dyDescent="0.3">
      <c r="A894" s="2">
        <v>45932</v>
      </c>
      <c r="B894" t="s">
        <v>41</v>
      </c>
      <c r="C894" t="s">
        <v>42</v>
      </c>
      <c r="D894">
        <v>4</v>
      </c>
      <c r="E894">
        <v>29.1</v>
      </c>
      <c r="F894">
        <v>148</v>
      </c>
      <c r="G894">
        <v>3</v>
      </c>
      <c r="H894">
        <v>10</v>
      </c>
      <c r="I894" t="s">
        <v>1669</v>
      </c>
      <c r="J894">
        <v>7.2750000000000004</v>
      </c>
      <c r="K894" t="str">
        <f>_xlfn.XLOOKUP(B894,zones_lookup!A:A,zones_lookup!B:B,"Not found")</f>
        <v>Mrs. Adisa</v>
      </c>
      <c r="L894">
        <f>_xlfn.XLOOKUP(B894,zones_lookup!A:A,zones_lookup!C:C,"Not found")</f>
        <v>633000</v>
      </c>
    </row>
    <row r="895" spans="1:12" x14ac:dyDescent="0.3">
      <c r="A895" s="2">
        <v>45788</v>
      </c>
      <c r="B895" t="s">
        <v>108</v>
      </c>
      <c r="C895" t="s">
        <v>109</v>
      </c>
      <c r="D895">
        <v>6</v>
      </c>
      <c r="E895">
        <v>38.5</v>
      </c>
      <c r="F895">
        <v>178.8</v>
      </c>
      <c r="G895">
        <v>1</v>
      </c>
      <c r="H895">
        <v>5</v>
      </c>
      <c r="I895" t="s">
        <v>1663</v>
      </c>
      <c r="J895">
        <v>6.416666666666667</v>
      </c>
      <c r="K895" t="str">
        <f>_xlfn.XLOOKUP(B895,zones_lookup!A:A,zones_lookup!B:B,"Not found")</f>
        <v>Mrs. Okafor</v>
      </c>
      <c r="L895">
        <f>_xlfn.XLOOKUP(B895,zones_lookup!A:A,zones_lookup!C:C,"Not found")</f>
        <v>503000</v>
      </c>
    </row>
    <row r="896" spans="1:12" x14ac:dyDescent="0.3">
      <c r="A896" s="2">
        <v>45838</v>
      </c>
      <c r="B896" t="s">
        <v>89</v>
      </c>
      <c r="C896" t="s">
        <v>131</v>
      </c>
      <c r="D896">
        <v>4</v>
      </c>
      <c r="E896">
        <v>28.4</v>
      </c>
      <c r="F896">
        <v>159.30000000000001</v>
      </c>
      <c r="G896">
        <v>4</v>
      </c>
      <c r="H896">
        <v>6</v>
      </c>
      <c r="I896" t="s">
        <v>1667</v>
      </c>
      <c r="J896">
        <v>7.1</v>
      </c>
      <c r="K896" t="str">
        <f>_xlfn.XLOOKUP(B896,zones_lookup!A:A,zones_lookup!B:B,"Not found")</f>
        <v>Mr. Salami</v>
      </c>
      <c r="L896">
        <f>_xlfn.XLOOKUP(B896,zones_lookup!A:A,zones_lookup!C:C,"Not found")</f>
        <v>200000</v>
      </c>
    </row>
    <row r="897" spans="1:12" x14ac:dyDescent="0.3">
      <c r="A897" s="2">
        <v>45968</v>
      </c>
      <c r="B897" t="s">
        <v>89</v>
      </c>
      <c r="C897" t="s">
        <v>131</v>
      </c>
      <c r="D897">
        <v>6</v>
      </c>
      <c r="E897">
        <v>27.4</v>
      </c>
      <c r="F897">
        <v>229</v>
      </c>
      <c r="G897">
        <v>1</v>
      </c>
      <c r="H897">
        <v>11</v>
      </c>
      <c r="I897" t="s">
        <v>1664</v>
      </c>
      <c r="J897">
        <v>4.5666666666666664</v>
      </c>
      <c r="K897" t="str">
        <f>_xlfn.XLOOKUP(B897,zones_lookup!A:A,zones_lookup!B:B,"Not found")</f>
        <v>Mr. Salami</v>
      </c>
      <c r="L897">
        <f>_xlfn.XLOOKUP(B897,zones_lookup!A:A,zones_lookup!C:C,"Not found")</f>
        <v>200000</v>
      </c>
    </row>
    <row r="898" spans="1:12" x14ac:dyDescent="0.3">
      <c r="A898" s="2">
        <v>45873</v>
      </c>
      <c r="B898" t="s">
        <v>93</v>
      </c>
      <c r="C898" t="s">
        <v>101</v>
      </c>
      <c r="D898">
        <v>4</v>
      </c>
      <c r="E898">
        <v>14.4</v>
      </c>
      <c r="F898">
        <v>119.2</v>
      </c>
      <c r="G898">
        <v>4</v>
      </c>
      <c r="H898">
        <v>8</v>
      </c>
      <c r="I898" t="s">
        <v>1666</v>
      </c>
      <c r="J898">
        <v>3.6</v>
      </c>
      <c r="K898" t="str">
        <f>_xlfn.XLOOKUP(B898,zones_lookup!A:A,zones_lookup!B:B,"Not found")</f>
        <v>Mr. Ogunleye</v>
      </c>
      <c r="L898">
        <f>_xlfn.XLOOKUP(B898,zones_lookup!A:A,zones_lookup!C:C,"Not found")</f>
        <v>181000</v>
      </c>
    </row>
    <row r="899" spans="1:12" x14ac:dyDescent="0.3">
      <c r="A899" s="2">
        <v>45874</v>
      </c>
      <c r="B899" t="s">
        <v>27</v>
      </c>
      <c r="C899" t="s">
        <v>31</v>
      </c>
      <c r="D899">
        <v>3</v>
      </c>
      <c r="E899">
        <v>17.2</v>
      </c>
      <c r="F899">
        <v>115.7</v>
      </c>
      <c r="G899">
        <v>0</v>
      </c>
      <c r="H899">
        <v>8</v>
      </c>
      <c r="I899" t="s">
        <v>1666</v>
      </c>
      <c r="J899">
        <v>5.7333333333333334</v>
      </c>
      <c r="K899" t="str">
        <f>_xlfn.XLOOKUP(B899,zones_lookup!A:A,zones_lookup!B:B,"Not found")</f>
        <v>Mr. Bello</v>
      </c>
      <c r="L899">
        <f>_xlfn.XLOOKUP(B899,zones_lookup!A:A,zones_lookup!C:C,"Not found")</f>
        <v>1288000</v>
      </c>
    </row>
    <row r="900" spans="1:12" x14ac:dyDescent="0.3">
      <c r="A900" s="2">
        <v>45847</v>
      </c>
      <c r="B900" t="s">
        <v>49</v>
      </c>
      <c r="C900" t="s">
        <v>50</v>
      </c>
      <c r="D900">
        <v>6</v>
      </c>
      <c r="E900">
        <v>23.2</v>
      </c>
      <c r="F900">
        <v>204.7</v>
      </c>
      <c r="G900">
        <v>1</v>
      </c>
      <c r="H900">
        <v>7</v>
      </c>
      <c r="I900" t="s">
        <v>1661</v>
      </c>
      <c r="J900">
        <v>3.8666666666666667</v>
      </c>
      <c r="K900" t="str">
        <f>_xlfn.XLOOKUP(B900,zones_lookup!A:A,zones_lookup!B:B,"Not found")</f>
        <v>Mrs. Johnson</v>
      </c>
      <c r="L900">
        <f>_xlfn.XLOOKUP(B900,zones_lookup!A:A,zones_lookup!C:C,"Not found")</f>
        <v>241000</v>
      </c>
    </row>
    <row r="901" spans="1:12" x14ac:dyDescent="0.3">
      <c r="A901" s="2">
        <v>45699</v>
      </c>
      <c r="B901" t="s">
        <v>93</v>
      </c>
      <c r="C901" t="s">
        <v>101</v>
      </c>
      <c r="D901">
        <v>4</v>
      </c>
      <c r="E901">
        <v>13.8</v>
      </c>
      <c r="F901">
        <v>133.1</v>
      </c>
      <c r="G901">
        <v>0</v>
      </c>
      <c r="H901">
        <v>2</v>
      </c>
      <c r="I901" t="s">
        <v>1665</v>
      </c>
      <c r="J901">
        <v>3.45</v>
      </c>
      <c r="K901" t="str">
        <f>_xlfn.XLOOKUP(B901,zones_lookup!A:A,zones_lookup!B:B,"Not found")</f>
        <v>Mr. Ogunleye</v>
      </c>
      <c r="L901">
        <f>_xlfn.XLOOKUP(B901,zones_lookup!A:A,zones_lookup!C:C,"Not found")</f>
        <v>181000</v>
      </c>
    </row>
    <row r="902" spans="1:12" x14ac:dyDescent="0.3">
      <c r="A902" s="2">
        <v>45853</v>
      </c>
      <c r="B902" t="s">
        <v>108</v>
      </c>
      <c r="C902" t="s">
        <v>208</v>
      </c>
      <c r="D902">
        <v>4</v>
      </c>
      <c r="F902">
        <v>201.8</v>
      </c>
      <c r="G902">
        <v>2</v>
      </c>
      <c r="H902">
        <v>7</v>
      </c>
      <c r="I902" t="s">
        <v>1661</v>
      </c>
      <c r="K902" t="str">
        <f>_xlfn.XLOOKUP(B902,zones_lookup!A:A,zones_lookup!B:B,"Not found")</f>
        <v>Mrs. Okafor</v>
      </c>
      <c r="L902">
        <f>_xlfn.XLOOKUP(B902,zones_lookup!A:A,zones_lookup!C:C,"Not found")</f>
        <v>503000</v>
      </c>
    </row>
    <row r="903" spans="1:12" x14ac:dyDescent="0.3">
      <c r="A903" s="2">
        <v>45837</v>
      </c>
      <c r="B903" t="s">
        <v>108</v>
      </c>
      <c r="C903" t="s">
        <v>208</v>
      </c>
      <c r="D903">
        <v>4</v>
      </c>
      <c r="E903">
        <v>23</v>
      </c>
      <c r="F903">
        <v>168.5</v>
      </c>
      <c r="G903">
        <v>1</v>
      </c>
      <c r="H903">
        <v>6</v>
      </c>
      <c r="I903" t="s">
        <v>1667</v>
      </c>
      <c r="J903">
        <v>5.75</v>
      </c>
      <c r="K903" t="str">
        <f>_xlfn.XLOOKUP(B903,zones_lookup!A:A,zones_lookup!B:B,"Not found")</f>
        <v>Mrs. Okafor</v>
      </c>
      <c r="L903">
        <f>_xlfn.XLOOKUP(B903,zones_lookup!A:A,zones_lookup!C:C,"Not found")</f>
        <v>503000</v>
      </c>
    </row>
    <row r="904" spans="1:12" x14ac:dyDescent="0.3">
      <c r="A904" s="2">
        <v>45768</v>
      </c>
      <c r="B904" t="s">
        <v>27</v>
      </c>
      <c r="C904" t="s">
        <v>28</v>
      </c>
      <c r="D904">
        <v>2</v>
      </c>
      <c r="E904">
        <v>15.7</v>
      </c>
      <c r="F904">
        <v>87.5</v>
      </c>
      <c r="G904">
        <v>0</v>
      </c>
      <c r="H904">
        <v>4</v>
      </c>
      <c r="I904" t="s">
        <v>1668</v>
      </c>
      <c r="J904">
        <v>7.85</v>
      </c>
      <c r="K904" t="str">
        <f>_xlfn.XLOOKUP(B904,zones_lookup!A:A,zones_lookup!B:B,"Not found")</f>
        <v>Mr. Bello</v>
      </c>
      <c r="L904">
        <f>_xlfn.XLOOKUP(B904,zones_lookup!A:A,zones_lookup!C:C,"Not found")</f>
        <v>1288000</v>
      </c>
    </row>
    <row r="905" spans="1:12" x14ac:dyDescent="0.3">
      <c r="A905" s="2">
        <v>45824</v>
      </c>
      <c r="B905" t="s">
        <v>49</v>
      </c>
      <c r="C905" t="s">
        <v>52</v>
      </c>
      <c r="D905">
        <v>3</v>
      </c>
      <c r="E905">
        <v>13</v>
      </c>
      <c r="F905">
        <v>110.3</v>
      </c>
      <c r="H905">
        <v>6</v>
      </c>
      <c r="I905" t="s">
        <v>1667</v>
      </c>
      <c r="J905">
        <v>4.333333333333333</v>
      </c>
      <c r="K905" t="str">
        <f>_xlfn.XLOOKUP(B905,zones_lookup!A:A,zones_lookup!B:B,"Not found")</f>
        <v>Mrs. Johnson</v>
      </c>
      <c r="L905">
        <f>_xlfn.XLOOKUP(B905,zones_lookup!A:A,zones_lookup!C:C,"Not found")</f>
        <v>241000</v>
      </c>
    </row>
    <row r="906" spans="1:12" x14ac:dyDescent="0.3">
      <c r="A906" s="2">
        <v>45823</v>
      </c>
      <c r="B906" t="s">
        <v>108</v>
      </c>
      <c r="C906" t="s">
        <v>169</v>
      </c>
      <c r="D906">
        <v>4</v>
      </c>
      <c r="E906">
        <v>19.899999999999999</v>
      </c>
      <c r="F906">
        <v>131.4</v>
      </c>
      <c r="G906">
        <v>2</v>
      </c>
      <c r="H906">
        <v>6</v>
      </c>
      <c r="I906" t="s">
        <v>1667</v>
      </c>
      <c r="J906">
        <v>4.9749999999999996</v>
      </c>
      <c r="K906" t="str">
        <f>_xlfn.XLOOKUP(B906,zones_lookup!A:A,zones_lookup!B:B,"Not found")</f>
        <v>Mrs. Okafor</v>
      </c>
      <c r="L906">
        <f>_xlfn.XLOOKUP(B906,zones_lookup!A:A,zones_lookup!C:C,"Not found")</f>
        <v>503000</v>
      </c>
    </row>
    <row r="907" spans="1:12" x14ac:dyDescent="0.3">
      <c r="A907" s="2">
        <v>45915</v>
      </c>
      <c r="B907" t="s">
        <v>41</v>
      </c>
      <c r="C907" t="s">
        <v>42</v>
      </c>
      <c r="D907">
        <v>3</v>
      </c>
      <c r="E907">
        <v>24</v>
      </c>
      <c r="F907">
        <v>101.3</v>
      </c>
      <c r="G907">
        <v>0</v>
      </c>
      <c r="H907">
        <v>9</v>
      </c>
      <c r="I907" t="s">
        <v>1670</v>
      </c>
      <c r="J907">
        <v>8</v>
      </c>
      <c r="K907" t="str">
        <f>_xlfn.XLOOKUP(B907,zones_lookup!A:A,zones_lookup!B:B,"Not found")</f>
        <v>Mrs. Adisa</v>
      </c>
      <c r="L907">
        <f>_xlfn.XLOOKUP(B907,zones_lookup!A:A,zones_lookup!C:C,"Not found")</f>
        <v>633000</v>
      </c>
    </row>
    <row r="908" spans="1:12" x14ac:dyDescent="0.3">
      <c r="A908" s="2">
        <v>45753</v>
      </c>
      <c r="B908" t="s">
        <v>27</v>
      </c>
      <c r="C908" t="s">
        <v>38</v>
      </c>
      <c r="D908">
        <v>6</v>
      </c>
      <c r="E908">
        <v>50.4</v>
      </c>
      <c r="F908">
        <v>175.8</v>
      </c>
      <c r="G908">
        <v>1</v>
      </c>
      <c r="H908">
        <v>4</v>
      </c>
      <c r="I908" t="s">
        <v>1668</v>
      </c>
      <c r="J908">
        <v>8.4</v>
      </c>
      <c r="K908" t="str">
        <f>_xlfn.XLOOKUP(B908,zones_lookup!A:A,zones_lookup!B:B,"Not found")</f>
        <v>Mr. Bello</v>
      </c>
      <c r="L908">
        <f>_xlfn.XLOOKUP(B908,zones_lookup!A:A,zones_lookup!C:C,"Not found")</f>
        <v>1288000</v>
      </c>
    </row>
    <row r="909" spans="1:12" x14ac:dyDescent="0.3">
      <c r="A909" s="2">
        <v>45777</v>
      </c>
      <c r="B909" t="s">
        <v>41</v>
      </c>
      <c r="C909" t="s">
        <v>73</v>
      </c>
      <c r="D909">
        <v>4</v>
      </c>
      <c r="E909">
        <v>23.8</v>
      </c>
      <c r="F909">
        <v>145.30000000000001</v>
      </c>
      <c r="G909">
        <v>3</v>
      </c>
      <c r="H909">
        <v>4</v>
      </c>
      <c r="I909" t="s">
        <v>1668</v>
      </c>
      <c r="J909">
        <v>5.95</v>
      </c>
      <c r="K909" t="str">
        <f>_xlfn.XLOOKUP(B909,zones_lookup!A:A,zones_lookup!B:B,"Not found")</f>
        <v>Mrs. Adisa</v>
      </c>
      <c r="L909">
        <f>_xlfn.XLOOKUP(B909,zones_lookup!A:A,zones_lookup!C:C,"Not found")</f>
        <v>633000</v>
      </c>
    </row>
    <row r="910" spans="1:12" x14ac:dyDescent="0.3">
      <c r="A910" s="2">
        <v>45915</v>
      </c>
      <c r="B910" t="s">
        <v>108</v>
      </c>
      <c r="C910" t="s">
        <v>109</v>
      </c>
      <c r="D910">
        <v>4</v>
      </c>
      <c r="E910">
        <v>23.7</v>
      </c>
      <c r="F910">
        <v>146.9</v>
      </c>
      <c r="G910">
        <v>2</v>
      </c>
      <c r="H910">
        <v>9</v>
      </c>
      <c r="I910" t="s">
        <v>1670</v>
      </c>
      <c r="J910">
        <v>5.9249999999999998</v>
      </c>
      <c r="K910" t="str">
        <f>_xlfn.XLOOKUP(B910,zones_lookup!A:A,zones_lookup!B:B,"Not found")</f>
        <v>Mrs. Okafor</v>
      </c>
      <c r="L910">
        <f>_xlfn.XLOOKUP(B910,zones_lookup!A:A,zones_lookup!C:C,"Not found")</f>
        <v>503000</v>
      </c>
    </row>
    <row r="911" spans="1:12" x14ac:dyDescent="0.3">
      <c r="A911" s="2">
        <v>45992</v>
      </c>
      <c r="B911" t="s">
        <v>89</v>
      </c>
      <c r="C911" t="s">
        <v>90</v>
      </c>
      <c r="D911">
        <v>4</v>
      </c>
      <c r="E911">
        <v>27.7</v>
      </c>
      <c r="F911">
        <v>149.6</v>
      </c>
      <c r="G911">
        <v>1</v>
      </c>
      <c r="H911">
        <v>12</v>
      </c>
      <c r="I911" t="s">
        <v>1671</v>
      </c>
      <c r="J911">
        <v>6.9249999999999998</v>
      </c>
      <c r="K911" t="str">
        <f>_xlfn.XLOOKUP(B911,zones_lookup!A:A,zones_lookup!B:B,"Not found")</f>
        <v>Mr. Salami</v>
      </c>
      <c r="L911">
        <f>_xlfn.XLOOKUP(B911,zones_lookup!A:A,zones_lookup!C:C,"Not found")</f>
        <v>200000</v>
      </c>
    </row>
    <row r="912" spans="1:12" x14ac:dyDescent="0.3">
      <c r="A912" s="2">
        <v>45669</v>
      </c>
      <c r="B912" t="s">
        <v>93</v>
      </c>
      <c r="C912" t="s">
        <v>57</v>
      </c>
      <c r="D912">
        <v>4</v>
      </c>
      <c r="E912">
        <v>12.1</v>
      </c>
      <c r="F912">
        <v>162.69999999999999</v>
      </c>
      <c r="G912">
        <v>5</v>
      </c>
      <c r="H912">
        <v>1</v>
      </c>
      <c r="I912" t="s">
        <v>1660</v>
      </c>
      <c r="J912">
        <v>3.0249999999999999</v>
      </c>
      <c r="K912" t="str">
        <f>_xlfn.XLOOKUP(B912,zones_lookup!A:A,zones_lookup!B:B,"Not found")</f>
        <v>Mr. Ogunleye</v>
      </c>
      <c r="L912">
        <f>_xlfn.XLOOKUP(B912,zones_lookup!A:A,zones_lookup!C:C,"Not found")</f>
        <v>181000</v>
      </c>
    </row>
    <row r="913" spans="1:12" x14ac:dyDescent="0.3">
      <c r="A913" s="2">
        <v>45666</v>
      </c>
      <c r="B913" t="s">
        <v>27</v>
      </c>
      <c r="C913" t="s">
        <v>28</v>
      </c>
      <c r="D913">
        <v>2</v>
      </c>
      <c r="E913">
        <v>12.6</v>
      </c>
      <c r="F913">
        <v>79.099999999999994</v>
      </c>
      <c r="G913">
        <v>0</v>
      </c>
      <c r="H913">
        <v>1</v>
      </c>
      <c r="I913" t="s">
        <v>1660</v>
      </c>
      <c r="J913">
        <v>6.3</v>
      </c>
      <c r="K913" t="str">
        <f>_xlfn.XLOOKUP(B913,zones_lookup!A:A,zones_lookup!B:B,"Not found")</f>
        <v>Mr. Bello</v>
      </c>
      <c r="L913">
        <f>_xlfn.XLOOKUP(B913,zones_lookup!A:A,zones_lookup!C:C,"Not found")</f>
        <v>1288000</v>
      </c>
    </row>
    <row r="914" spans="1:12" x14ac:dyDescent="0.3">
      <c r="A914" s="2">
        <v>45928</v>
      </c>
      <c r="B914" t="s">
        <v>27</v>
      </c>
      <c r="C914" t="s">
        <v>28</v>
      </c>
      <c r="D914">
        <v>6</v>
      </c>
      <c r="E914">
        <v>43.8</v>
      </c>
      <c r="F914">
        <v>216</v>
      </c>
      <c r="G914">
        <v>1</v>
      </c>
      <c r="H914">
        <v>9</v>
      </c>
      <c r="I914" t="s">
        <v>1670</v>
      </c>
      <c r="J914">
        <v>7.3</v>
      </c>
      <c r="K914" t="str">
        <f>_xlfn.XLOOKUP(B914,zones_lookup!A:A,zones_lookup!B:B,"Not found")</f>
        <v>Mr. Bello</v>
      </c>
      <c r="L914">
        <f>_xlfn.XLOOKUP(B914,zones_lookup!A:A,zones_lookup!C:C,"Not found")</f>
        <v>1288000</v>
      </c>
    </row>
    <row r="915" spans="1:12" x14ac:dyDescent="0.3">
      <c r="A915" s="2">
        <v>45836</v>
      </c>
      <c r="B915" t="s">
        <v>108</v>
      </c>
      <c r="C915" t="s">
        <v>169</v>
      </c>
      <c r="D915">
        <v>6</v>
      </c>
      <c r="E915">
        <v>25.1</v>
      </c>
      <c r="F915">
        <v>204.4</v>
      </c>
      <c r="G915">
        <v>0</v>
      </c>
      <c r="H915">
        <v>6</v>
      </c>
      <c r="I915" t="s">
        <v>1667</v>
      </c>
      <c r="J915">
        <v>4.1833333333333336</v>
      </c>
      <c r="K915" t="str">
        <f>_xlfn.XLOOKUP(B915,zones_lookup!A:A,zones_lookup!B:B,"Not found")</f>
        <v>Mrs. Okafor</v>
      </c>
      <c r="L915">
        <f>_xlfn.XLOOKUP(B915,zones_lookup!A:A,zones_lookup!C:C,"Not found")</f>
        <v>503000</v>
      </c>
    </row>
    <row r="916" spans="1:12" x14ac:dyDescent="0.3">
      <c r="A916" s="2">
        <v>45795</v>
      </c>
      <c r="B916" t="s">
        <v>27</v>
      </c>
      <c r="C916" t="s">
        <v>31</v>
      </c>
      <c r="D916">
        <v>3</v>
      </c>
      <c r="E916">
        <v>22.1</v>
      </c>
      <c r="F916">
        <v>119</v>
      </c>
      <c r="G916">
        <v>1</v>
      </c>
      <c r="H916">
        <v>5</v>
      </c>
      <c r="I916" t="s">
        <v>1663</v>
      </c>
      <c r="J916">
        <v>7.3666666666666671</v>
      </c>
      <c r="K916" t="str">
        <f>_xlfn.XLOOKUP(B916,zones_lookup!A:A,zones_lookup!B:B,"Not found")</f>
        <v>Mr. Bello</v>
      </c>
      <c r="L916">
        <f>_xlfn.XLOOKUP(B916,zones_lookup!A:A,zones_lookup!C:C,"Not found")</f>
        <v>1288000</v>
      </c>
    </row>
    <row r="917" spans="1:12" x14ac:dyDescent="0.3">
      <c r="A917" s="2">
        <v>45674</v>
      </c>
      <c r="B917" t="s">
        <v>76</v>
      </c>
      <c r="C917" t="s">
        <v>77</v>
      </c>
      <c r="D917">
        <v>3</v>
      </c>
      <c r="E917">
        <v>17</v>
      </c>
      <c r="F917">
        <v>119.9</v>
      </c>
      <c r="G917">
        <v>0</v>
      </c>
      <c r="H917">
        <v>1</v>
      </c>
      <c r="I917" t="s">
        <v>1660</v>
      </c>
      <c r="J917">
        <v>5.666666666666667</v>
      </c>
      <c r="K917" t="str">
        <f>_xlfn.XLOOKUP(B917,zones_lookup!A:A,zones_lookup!B:B,"Not found")</f>
        <v>Mr. Adeyemi</v>
      </c>
      <c r="L917">
        <f>_xlfn.XLOOKUP(B917,zones_lookup!A:A,zones_lookup!C:C,"Not found")</f>
        <v>313000</v>
      </c>
    </row>
    <row r="918" spans="1:12" x14ac:dyDescent="0.3">
      <c r="A918" s="2">
        <v>45814</v>
      </c>
      <c r="B918" t="s">
        <v>41</v>
      </c>
      <c r="C918" t="s">
        <v>42</v>
      </c>
      <c r="D918">
        <v>2</v>
      </c>
      <c r="E918">
        <v>14.4</v>
      </c>
      <c r="F918">
        <v>98.8</v>
      </c>
      <c r="G918">
        <v>1</v>
      </c>
      <c r="H918">
        <v>6</v>
      </c>
      <c r="I918" t="s">
        <v>1667</v>
      </c>
      <c r="J918">
        <v>7.2</v>
      </c>
      <c r="K918" t="str">
        <f>_xlfn.XLOOKUP(B918,zones_lookup!A:A,zones_lookup!B:B,"Not found")</f>
        <v>Mrs. Adisa</v>
      </c>
      <c r="L918">
        <f>_xlfn.XLOOKUP(B918,zones_lookup!A:A,zones_lookup!C:C,"Not found")</f>
        <v>633000</v>
      </c>
    </row>
    <row r="919" spans="1:12" x14ac:dyDescent="0.3">
      <c r="A919" s="2">
        <v>45987</v>
      </c>
      <c r="B919" t="s">
        <v>89</v>
      </c>
      <c r="C919" t="s">
        <v>131</v>
      </c>
      <c r="D919">
        <v>4</v>
      </c>
      <c r="E919">
        <v>20.7</v>
      </c>
      <c r="F919">
        <v>150.69999999999999</v>
      </c>
      <c r="G919">
        <v>2</v>
      </c>
      <c r="H919">
        <v>11</v>
      </c>
      <c r="I919" t="s">
        <v>1664</v>
      </c>
      <c r="J919">
        <v>5.1749999999999998</v>
      </c>
      <c r="K919" t="str">
        <f>_xlfn.XLOOKUP(B919,zones_lookup!A:A,zones_lookup!B:B,"Not found")</f>
        <v>Mr. Salami</v>
      </c>
      <c r="L919">
        <f>_xlfn.XLOOKUP(B919,zones_lookup!A:A,zones_lookup!C:C,"Not found")</f>
        <v>200000</v>
      </c>
    </row>
    <row r="920" spans="1:12" x14ac:dyDescent="0.3">
      <c r="A920" s="2">
        <v>45852</v>
      </c>
      <c r="B920" t="s">
        <v>89</v>
      </c>
      <c r="C920" t="s">
        <v>131</v>
      </c>
      <c r="D920">
        <v>2</v>
      </c>
      <c r="E920">
        <v>9.1</v>
      </c>
      <c r="F920">
        <v>67.7</v>
      </c>
      <c r="G920">
        <v>0</v>
      </c>
      <c r="H920">
        <v>7</v>
      </c>
      <c r="I920" t="s">
        <v>1661</v>
      </c>
      <c r="J920">
        <v>4.55</v>
      </c>
      <c r="K920" t="str">
        <f>_xlfn.XLOOKUP(B920,zones_lookup!A:A,zones_lookup!B:B,"Not found")</f>
        <v>Mr. Salami</v>
      </c>
      <c r="L920">
        <f>_xlfn.XLOOKUP(B920,zones_lookup!A:A,zones_lookup!C:C,"Not found")</f>
        <v>200000</v>
      </c>
    </row>
    <row r="921" spans="1:12" x14ac:dyDescent="0.3">
      <c r="A921" s="2">
        <v>45814</v>
      </c>
      <c r="B921" t="s">
        <v>89</v>
      </c>
      <c r="C921" t="s">
        <v>131</v>
      </c>
      <c r="D921">
        <v>4</v>
      </c>
      <c r="E921">
        <v>23.1</v>
      </c>
      <c r="F921">
        <v>169.4</v>
      </c>
      <c r="G921">
        <v>2</v>
      </c>
      <c r="H921">
        <v>6</v>
      </c>
      <c r="I921" t="s">
        <v>1667</v>
      </c>
      <c r="J921">
        <v>5.7750000000000004</v>
      </c>
      <c r="K921" t="str">
        <f>_xlfn.XLOOKUP(B921,zones_lookup!A:A,zones_lookup!B:B,"Not found")</f>
        <v>Mr. Salami</v>
      </c>
      <c r="L921">
        <f>_xlfn.XLOOKUP(B921,zones_lookup!A:A,zones_lookup!C:C,"Not found")</f>
        <v>200000</v>
      </c>
    </row>
    <row r="922" spans="1:12" x14ac:dyDescent="0.3">
      <c r="A922" s="2">
        <v>45995</v>
      </c>
      <c r="B922" t="s">
        <v>27</v>
      </c>
      <c r="C922" t="s">
        <v>28</v>
      </c>
      <c r="D922">
        <v>4</v>
      </c>
      <c r="E922">
        <v>37.6</v>
      </c>
      <c r="F922">
        <v>154.9</v>
      </c>
      <c r="G922">
        <v>4</v>
      </c>
      <c r="H922">
        <v>12</v>
      </c>
      <c r="I922" t="s">
        <v>1671</v>
      </c>
      <c r="J922">
        <v>9.4</v>
      </c>
      <c r="K922" t="str">
        <f>_xlfn.XLOOKUP(B922,zones_lookup!A:A,zones_lookup!B:B,"Not found")</f>
        <v>Mr. Bello</v>
      </c>
      <c r="L922">
        <f>_xlfn.XLOOKUP(B922,zones_lookup!A:A,zones_lookup!C:C,"Not found")</f>
        <v>1288000</v>
      </c>
    </row>
    <row r="923" spans="1:12" x14ac:dyDescent="0.3">
      <c r="A923" s="2">
        <v>45905</v>
      </c>
      <c r="B923" t="s">
        <v>93</v>
      </c>
      <c r="C923" t="s">
        <v>101</v>
      </c>
      <c r="D923">
        <v>4</v>
      </c>
      <c r="E923">
        <v>16.3</v>
      </c>
      <c r="F923">
        <v>149.4</v>
      </c>
      <c r="G923">
        <v>3</v>
      </c>
      <c r="H923">
        <v>9</v>
      </c>
      <c r="I923" t="s">
        <v>1670</v>
      </c>
      <c r="J923">
        <v>4.0750000000000002</v>
      </c>
      <c r="K923" t="str">
        <f>_xlfn.XLOOKUP(B923,zones_lookup!A:A,zones_lookup!B:B,"Not found")</f>
        <v>Mr. Ogunleye</v>
      </c>
      <c r="L923">
        <f>_xlfn.XLOOKUP(B923,zones_lookup!A:A,zones_lookup!C:C,"Not found")</f>
        <v>181000</v>
      </c>
    </row>
    <row r="924" spans="1:12" x14ac:dyDescent="0.3">
      <c r="A924" s="2">
        <v>45703</v>
      </c>
      <c r="B924" t="s">
        <v>60</v>
      </c>
      <c r="C924" t="s">
        <v>69</v>
      </c>
      <c r="D924">
        <v>4</v>
      </c>
      <c r="E924">
        <v>14.7</v>
      </c>
      <c r="F924">
        <v>145.4</v>
      </c>
      <c r="G924">
        <v>4</v>
      </c>
      <c r="H924">
        <v>2</v>
      </c>
      <c r="I924" t="s">
        <v>1665</v>
      </c>
      <c r="J924">
        <v>3.6749999999999998</v>
      </c>
      <c r="K924" t="str">
        <f>_xlfn.XLOOKUP(B924,zones_lookup!A:A,zones_lookup!B:B,"Not found")</f>
        <v>Mrs. Eze</v>
      </c>
      <c r="L924">
        <f>_xlfn.XLOOKUP(B924,zones_lookup!A:A,zones_lookup!C:C,"Not found")</f>
        <v>535000</v>
      </c>
    </row>
    <row r="925" spans="1:12" x14ac:dyDescent="0.3">
      <c r="A925" s="2">
        <v>45915</v>
      </c>
      <c r="B925" t="s">
        <v>27</v>
      </c>
      <c r="C925" t="s">
        <v>28</v>
      </c>
      <c r="D925">
        <v>2</v>
      </c>
      <c r="E925">
        <v>12.2</v>
      </c>
      <c r="F925">
        <v>83.1</v>
      </c>
      <c r="G925">
        <v>3</v>
      </c>
      <c r="H925">
        <v>9</v>
      </c>
      <c r="I925" t="s">
        <v>1670</v>
      </c>
      <c r="J925">
        <v>6.1</v>
      </c>
      <c r="K925" t="str">
        <f>_xlfn.XLOOKUP(B925,zones_lookup!A:A,zones_lookup!B:B,"Not found")</f>
        <v>Mr. Bello</v>
      </c>
      <c r="L925">
        <f>_xlfn.XLOOKUP(B925,zones_lookup!A:A,zones_lookup!C:C,"Not found")</f>
        <v>1288000</v>
      </c>
    </row>
    <row r="926" spans="1:12" x14ac:dyDescent="0.3">
      <c r="A926" s="2">
        <v>45786</v>
      </c>
      <c r="B926" t="s">
        <v>60</v>
      </c>
      <c r="C926" t="s">
        <v>64</v>
      </c>
      <c r="D926">
        <v>2</v>
      </c>
      <c r="E926">
        <v>9.1</v>
      </c>
      <c r="F926">
        <v>83.1</v>
      </c>
      <c r="G926">
        <v>3</v>
      </c>
      <c r="H926">
        <v>5</v>
      </c>
      <c r="I926" t="s">
        <v>1663</v>
      </c>
      <c r="J926">
        <v>4.55</v>
      </c>
      <c r="K926" t="str">
        <f>_xlfn.XLOOKUP(B926,zones_lookup!A:A,zones_lookup!B:B,"Not found")</f>
        <v>Mrs. Eze</v>
      </c>
      <c r="L926">
        <f>_xlfn.XLOOKUP(B926,zones_lookup!A:A,zones_lookup!C:C,"Not found")</f>
        <v>535000</v>
      </c>
    </row>
    <row r="927" spans="1:12" x14ac:dyDescent="0.3">
      <c r="A927" s="2">
        <v>45809</v>
      </c>
      <c r="B927" t="s">
        <v>93</v>
      </c>
      <c r="C927" t="s">
        <v>57</v>
      </c>
      <c r="D927">
        <v>5</v>
      </c>
      <c r="E927">
        <v>20.5</v>
      </c>
      <c r="F927">
        <v>210.9</v>
      </c>
      <c r="G927">
        <v>1</v>
      </c>
      <c r="H927">
        <v>6</v>
      </c>
      <c r="I927" t="s">
        <v>1667</v>
      </c>
      <c r="J927">
        <v>4.0999999999999996</v>
      </c>
      <c r="K927" t="str">
        <f>_xlfn.XLOOKUP(B927,zones_lookup!A:A,zones_lookup!B:B,"Not found")</f>
        <v>Mr. Ogunleye</v>
      </c>
      <c r="L927">
        <f>_xlfn.XLOOKUP(B927,zones_lookup!A:A,zones_lookup!C:C,"Not found")</f>
        <v>181000</v>
      </c>
    </row>
    <row r="928" spans="1:12" x14ac:dyDescent="0.3">
      <c r="A928" s="2">
        <v>45867</v>
      </c>
      <c r="B928" t="s">
        <v>108</v>
      </c>
      <c r="C928" t="s">
        <v>66</v>
      </c>
      <c r="D928">
        <v>5</v>
      </c>
      <c r="E928">
        <v>31.1</v>
      </c>
      <c r="F928">
        <v>254.3</v>
      </c>
      <c r="G928">
        <v>1</v>
      </c>
      <c r="H928">
        <v>7</v>
      </c>
      <c r="I928" t="s">
        <v>1661</v>
      </c>
      <c r="J928">
        <v>6.2200000000000006</v>
      </c>
      <c r="K928" t="str">
        <f>_xlfn.XLOOKUP(B928,zones_lookup!A:A,zones_lookup!B:B,"Not found")</f>
        <v>Mrs. Okafor</v>
      </c>
      <c r="L928">
        <f>_xlfn.XLOOKUP(B928,zones_lookup!A:A,zones_lookup!C:C,"Not found")</f>
        <v>503000</v>
      </c>
    </row>
    <row r="929" spans="1:12" x14ac:dyDescent="0.3">
      <c r="A929" s="2">
        <v>45958</v>
      </c>
      <c r="B929" t="s">
        <v>93</v>
      </c>
      <c r="C929" t="s">
        <v>101</v>
      </c>
      <c r="D929">
        <v>5</v>
      </c>
      <c r="E929">
        <v>18</v>
      </c>
      <c r="F929">
        <v>226.7</v>
      </c>
      <c r="G929">
        <v>4</v>
      </c>
      <c r="H929">
        <v>10</v>
      </c>
      <c r="I929" t="s">
        <v>1669</v>
      </c>
      <c r="J929">
        <v>3.6</v>
      </c>
      <c r="K929" t="str">
        <f>_xlfn.XLOOKUP(B929,zones_lookup!A:A,zones_lookup!B:B,"Not found")</f>
        <v>Mr. Ogunleye</v>
      </c>
      <c r="L929">
        <f>_xlfn.XLOOKUP(B929,zones_lookup!A:A,zones_lookup!C:C,"Not found")</f>
        <v>181000</v>
      </c>
    </row>
    <row r="930" spans="1:12" x14ac:dyDescent="0.3">
      <c r="A930" s="2">
        <v>45995</v>
      </c>
      <c r="B930" t="s">
        <v>89</v>
      </c>
      <c r="C930" t="s">
        <v>131</v>
      </c>
      <c r="D930">
        <v>3</v>
      </c>
      <c r="E930">
        <v>23.2</v>
      </c>
      <c r="F930">
        <v>139.6</v>
      </c>
      <c r="G930">
        <v>0</v>
      </c>
      <c r="H930">
        <v>12</v>
      </c>
      <c r="I930" t="s">
        <v>1671</v>
      </c>
      <c r="J930">
        <v>7.7333333333333334</v>
      </c>
      <c r="K930" t="str">
        <f>_xlfn.XLOOKUP(B930,zones_lookup!A:A,zones_lookup!B:B,"Not found")</f>
        <v>Mr. Salami</v>
      </c>
      <c r="L930">
        <f>_xlfn.XLOOKUP(B930,zones_lookup!A:A,zones_lookup!C:C,"Not found")</f>
        <v>200000</v>
      </c>
    </row>
    <row r="931" spans="1:12" x14ac:dyDescent="0.3">
      <c r="A931" s="2">
        <v>45902</v>
      </c>
      <c r="B931" t="s">
        <v>89</v>
      </c>
      <c r="C931" t="s">
        <v>90</v>
      </c>
      <c r="D931">
        <v>2</v>
      </c>
      <c r="E931">
        <v>10.7</v>
      </c>
      <c r="F931">
        <v>77.8</v>
      </c>
      <c r="G931">
        <v>2</v>
      </c>
      <c r="H931">
        <v>9</v>
      </c>
      <c r="I931" t="s">
        <v>1670</v>
      </c>
      <c r="J931">
        <v>5.35</v>
      </c>
      <c r="K931" t="str">
        <f>_xlfn.XLOOKUP(B931,zones_lookup!A:A,zones_lookup!B:B,"Not found")</f>
        <v>Mr. Salami</v>
      </c>
      <c r="L931">
        <f>_xlfn.XLOOKUP(B931,zones_lookup!A:A,zones_lookup!C:C,"Not found")</f>
        <v>200000</v>
      </c>
    </row>
    <row r="932" spans="1:12" x14ac:dyDescent="0.3">
      <c r="A932" s="2">
        <v>45787</v>
      </c>
      <c r="B932" t="s">
        <v>108</v>
      </c>
      <c r="C932" t="s">
        <v>109</v>
      </c>
      <c r="D932">
        <v>5</v>
      </c>
      <c r="E932">
        <v>31.9</v>
      </c>
      <c r="F932">
        <v>168.1</v>
      </c>
      <c r="G932">
        <v>1</v>
      </c>
      <c r="H932">
        <v>5</v>
      </c>
      <c r="I932" t="s">
        <v>1663</v>
      </c>
      <c r="J932">
        <v>6.38</v>
      </c>
      <c r="K932" t="str">
        <f>_xlfn.XLOOKUP(B932,zones_lookup!A:A,zones_lookup!B:B,"Not found")</f>
        <v>Mrs. Okafor</v>
      </c>
      <c r="L932">
        <f>_xlfn.XLOOKUP(B932,zones_lookup!A:A,zones_lookup!C:C,"Not found")</f>
        <v>503000</v>
      </c>
    </row>
    <row r="933" spans="1:12" x14ac:dyDescent="0.3">
      <c r="A933" s="2">
        <v>45983</v>
      </c>
      <c r="B933" t="s">
        <v>27</v>
      </c>
      <c r="C933" t="s">
        <v>34</v>
      </c>
      <c r="D933">
        <v>4</v>
      </c>
      <c r="E933">
        <v>38.700000000000003</v>
      </c>
      <c r="F933">
        <v>159.1</v>
      </c>
      <c r="G933">
        <v>1</v>
      </c>
      <c r="H933">
        <v>11</v>
      </c>
      <c r="I933" t="s">
        <v>1664</v>
      </c>
      <c r="J933">
        <v>9.6750000000000007</v>
      </c>
      <c r="K933" t="str">
        <f>_xlfn.XLOOKUP(B933,zones_lookup!A:A,zones_lookup!B:B,"Not found")</f>
        <v>Mr. Bello</v>
      </c>
      <c r="L933">
        <f>_xlfn.XLOOKUP(B933,zones_lookup!A:A,zones_lookup!C:C,"Not found")</f>
        <v>1288000</v>
      </c>
    </row>
    <row r="934" spans="1:12" x14ac:dyDescent="0.3">
      <c r="A934" s="2">
        <v>45778</v>
      </c>
      <c r="B934" t="s">
        <v>93</v>
      </c>
      <c r="C934" t="s">
        <v>101</v>
      </c>
      <c r="D934">
        <v>4</v>
      </c>
      <c r="E934">
        <v>17.5</v>
      </c>
      <c r="F934">
        <v>132</v>
      </c>
      <c r="G934">
        <v>3</v>
      </c>
      <c r="H934">
        <v>5</v>
      </c>
      <c r="I934" t="s">
        <v>1663</v>
      </c>
      <c r="J934">
        <v>4.375</v>
      </c>
      <c r="K934" t="str">
        <f>_xlfn.XLOOKUP(B934,zones_lookup!A:A,zones_lookup!B:B,"Not found")</f>
        <v>Mr. Ogunleye</v>
      </c>
      <c r="L934">
        <f>_xlfn.XLOOKUP(B934,zones_lookup!A:A,zones_lookup!C:C,"Not found")</f>
        <v>181000</v>
      </c>
    </row>
    <row r="935" spans="1:12" x14ac:dyDescent="0.3">
      <c r="A935" s="2">
        <v>45898</v>
      </c>
      <c r="B935" t="s">
        <v>27</v>
      </c>
      <c r="C935" t="s">
        <v>28</v>
      </c>
      <c r="D935">
        <v>6</v>
      </c>
      <c r="E935">
        <v>46.8</v>
      </c>
      <c r="F935">
        <v>241.4</v>
      </c>
      <c r="G935">
        <v>0</v>
      </c>
      <c r="H935">
        <v>8</v>
      </c>
      <c r="I935" t="s">
        <v>1666</v>
      </c>
      <c r="J935">
        <v>7.8</v>
      </c>
      <c r="K935" t="str">
        <f>_xlfn.XLOOKUP(B935,zones_lookup!A:A,zones_lookup!B:B,"Not found")</f>
        <v>Mr. Bello</v>
      </c>
      <c r="L935">
        <f>_xlfn.XLOOKUP(B935,zones_lookup!A:A,zones_lookup!C:C,"Not found")</f>
        <v>1288000</v>
      </c>
    </row>
    <row r="936" spans="1:12" x14ac:dyDescent="0.3">
      <c r="A936" s="2">
        <v>45788</v>
      </c>
      <c r="B936" t="s">
        <v>93</v>
      </c>
      <c r="C936" t="s">
        <v>57</v>
      </c>
      <c r="D936">
        <v>5</v>
      </c>
      <c r="E936">
        <v>19.100000000000001</v>
      </c>
      <c r="F936">
        <v>194.5</v>
      </c>
      <c r="G936">
        <v>1</v>
      </c>
      <c r="H936">
        <v>5</v>
      </c>
      <c r="I936" t="s">
        <v>1663</v>
      </c>
      <c r="J936">
        <v>3.8200000000000003</v>
      </c>
      <c r="K936" t="str">
        <f>_xlfn.XLOOKUP(B936,zones_lookup!A:A,zones_lookup!B:B,"Not found")</f>
        <v>Mr. Ogunleye</v>
      </c>
      <c r="L936">
        <f>_xlfn.XLOOKUP(B936,zones_lookup!A:A,zones_lookup!C:C,"Not found")</f>
        <v>181000</v>
      </c>
    </row>
    <row r="937" spans="1:12" x14ac:dyDescent="0.3">
      <c r="A937" s="2">
        <v>45678</v>
      </c>
      <c r="B937" t="s">
        <v>89</v>
      </c>
      <c r="C937" t="s">
        <v>131</v>
      </c>
      <c r="D937">
        <v>3</v>
      </c>
      <c r="E937">
        <v>14.4</v>
      </c>
      <c r="F937">
        <v>106.3</v>
      </c>
      <c r="G937">
        <v>2</v>
      </c>
      <c r="H937">
        <v>1</v>
      </c>
      <c r="I937" t="s">
        <v>1660</v>
      </c>
      <c r="J937">
        <v>4.8</v>
      </c>
      <c r="K937" t="str">
        <f>_xlfn.XLOOKUP(B937,zones_lookup!A:A,zones_lookup!B:B,"Not found")</f>
        <v>Mr. Salami</v>
      </c>
      <c r="L937">
        <f>_xlfn.XLOOKUP(B937,zones_lookup!A:A,zones_lookup!C:C,"Not found")</f>
        <v>200000</v>
      </c>
    </row>
    <row r="938" spans="1:12" x14ac:dyDescent="0.3">
      <c r="A938" s="2">
        <v>45941</v>
      </c>
      <c r="B938" t="s">
        <v>89</v>
      </c>
      <c r="C938" t="s">
        <v>131</v>
      </c>
      <c r="D938">
        <v>6</v>
      </c>
      <c r="E938">
        <v>37.299999999999997</v>
      </c>
      <c r="F938">
        <v>235.2</v>
      </c>
      <c r="G938">
        <v>3</v>
      </c>
      <c r="H938">
        <v>10</v>
      </c>
      <c r="I938" t="s">
        <v>1669</v>
      </c>
      <c r="J938">
        <v>6.2166666666666659</v>
      </c>
      <c r="K938" t="str">
        <f>_xlfn.XLOOKUP(B938,zones_lookup!A:A,zones_lookup!B:B,"Not found")</f>
        <v>Mr. Salami</v>
      </c>
      <c r="L938">
        <f>_xlfn.XLOOKUP(B938,zones_lookup!A:A,zones_lookup!C:C,"Not found")</f>
        <v>200000</v>
      </c>
    </row>
    <row r="939" spans="1:12" x14ac:dyDescent="0.3">
      <c r="A939" s="2">
        <v>45920</v>
      </c>
      <c r="B939" t="s">
        <v>108</v>
      </c>
      <c r="C939" t="s">
        <v>169</v>
      </c>
      <c r="D939">
        <v>4</v>
      </c>
      <c r="E939">
        <v>24.4</v>
      </c>
      <c r="F939">
        <v>168.5</v>
      </c>
      <c r="G939">
        <v>1</v>
      </c>
      <c r="H939">
        <v>9</v>
      </c>
      <c r="I939" t="s">
        <v>1670</v>
      </c>
      <c r="J939">
        <v>6.1</v>
      </c>
      <c r="K939" t="str">
        <f>_xlfn.XLOOKUP(B939,zones_lookup!A:A,zones_lookup!B:B,"Not found")</f>
        <v>Mrs. Okafor</v>
      </c>
      <c r="L939">
        <f>_xlfn.XLOOKUP(B939,zones_lookup!A:A,zones_lookup!C:C,"Not found")</f>
        <v>503000</v>
      </c>
    </row>
    <row r="940" spans="1:12" x14ac:dyDescent="0.3">
      <c r="A940" s="2">
        <v>45897</v>
      </c>
      <c r="B940" t="s">
        <v>27</v>
      </c>
      <c r="C940" t="s">
        <v>38</v>
      </c>
      <c r="D940">
        <v>2</v>
      </c>
      <c r="E940">
        <v>13.5</v>
      </c>
      <c r="F940">
        <v>70.900000000000006</v>
      </c>
      <c r="G940">
        <v>2</v>
      </c>
      <c r="H940">
        <v>8</v>
      </c>
      <c r="I940" t="s">
        <v>1666</v>
      </c>
      <c r="J940">
        <v>6.75</v>
      </c>
      <c r="K940" t="str">
        <f>_xlfn.XLOOKUP(B940,zones_lookup!A:A,zones_lookup!B:B,"Not found")</f>
        <v>Mr. Bello</v>
      </c>
      <c r="L940">
        <f>_xlfn.XLOOKUP(B940,zones_lookup!A:A,zones_lookup!C:C,"Not found")</f>
        <v>1288000</v>
      </c>
    </row>
    <row r="941" spans="1:12" x14ac:dyDescent="0.3">
      <c r="A941" s="2">
        <v>45831</v>
      </c>
      <c r="B941" t="s">
        <v>89</v>
      </c>
      <c r="C941" t="s">
        <v>90</v>
      </c>
      <c r="D941">
        <v>2</v>
      </c>
      <c r="E941">
        <v>11.3</v>
      </c>
      <c r="F941">
        <v>77.099999999999994</v>
      </c>
      <c r="G941">
        <v>0</v>
      </c>
      <c r="H941">
        <v>6</v>
      </c>
      <c r="I941" t="s">
        <v>1667</v>
      </c>
      <c r="J941">
        <v>5.65</v>
      </c>
      <c r="K941" t="str">
        <f>_xlfn.XLOOKUP(B941,zones_lookup!A:A,zones_lookup!B:B,"Not found")</f>
        <v>Mr. Salami</v>
      </c>
      <c r="L941">
        <f>_xlfn.XLOOKUP(B941,zones_lookup!A:A,zones_lookup!C:C,"Not found")</f>
        <v>200000</v>
      </c>
    </row>
    <row r="942" spans="1:12" x14ac:dyDescent="0.3">
      <c r="A942" s="2">
        <v>45998</v>
      </c>
      <c r="B942" t="s">
        <v>49</v>
      </c>
      <c r="C942" t="s">
        <v>52</v>
      </c>
      <c r="D942">
        <v>2</v>
      </c>
      <c r="E942">
        <v>9.1999999999999993</v>
      </c>
      <c r="F942">
        <v>67.900000000000006</v>
      </c>
      <c r="G942">
        <v>4</v>
      </c>
      <c r="H942">
        <v>12</v>
      </c>
      <c r="I942" t="s">
        <v>1671</v>
      </c>
      <c r="J942">
        <v>4.5999999999999996</v>
      </c>
      <c r="K942" t="str">
        <f>_xlfn.XLOOKUP(B942,zones_lookup!A:A,zones_lookup!B:B,"Not found")</f>
        <v>Mrs. Johnson</v>
      </c>
      <c r="L942">
        <f>_xlfn.XLOOKUP(B942,zones_lookup!A:A,zones_lookup!C:C,"Not found")</f>
        <v>241000</v>
      </c>
    </row>
    <row r="943" spans="1:12" x14ac:dyDescent="0.3">
      <c r="A943" s="2">
        <v>45713</v>
      </c>
      <c r="B943" t="s">
        <v>108</v>
      </c>
      <c r="C943" t="s">
        <v>109</v>
      </c>
      <c r="D943">
        <v>2</v>
      </c>
      <c r="E943">
        <v>11.7</v>
      </c>
      <c r="G943">
        <v>1</v>
      </c>
      <c r="H943">
        <v>2</v>
      </c>
      <c r="I943" t="s">
        <v>1665</v>
      </c>
      <c r="J943">
        <v>5.85</v>
      </c>
      <c r="K943" t="str">
        <f>_xlfn.XLOOKUP(B943,zones_lookup!A:A,zones_lookup!B:B,"Not found")</f>
        <v>Mrs. Okafor</v>
      </c>
      <c r="L943">
        <f>_xlfn.XLOOKUP(B943,zones_lookup!A:A,zones_lookup!C:C,"Not found")</f>
        <v>503000</v>
      </c>
    </row>
    <row r="944" spans="1:12" x14ac:dyDescent="0.3">
      <c r="A944" s="2">
        <v>45797</v>
      </c>
      <c r="B944" t="s">
        <v>89</v>
      </c>
      <c r="C944" t="s">
        <v>90</v>
      </c>
      <c r="D944">
        <v>5</v>
      </c>
      <c r="E944">
        <v>26.3</v>
      </c>
      <c r="F944">
        <v>217.7</v>
      </c>
      <c r="G944">
        <v>0</v>
      </c>
      <c r="H944">
        <v>5</v>
      </c>
      <c r="I944" t="s">
        <v>1663</v>
      </c>
      <c r="J944">
        <v>5.26</v>
      </c>
      <c r="K944" t="str">
        <f>_xlfn.XLOOKUP(B944,zones_lookup!A:A,zones_lookup!B:B,"Not found")</f>
        <v>Mr. Salami</v>
      </c>
      <c r="L944">
        <f>_xlfn.XLOOKUP(B944,zones_lookup!A:A,zones_lookup!C:C,"Not found")</f>
        <v>200000</v>
      </c>
    </row>
    <row r="945" spans="1:12" x14ac:dyDescent="0.3">
      <c r="A945" s="2">
        <v>45879</v>
      </c>
      <c r="B945" t="s">
        <v>89</v>
      </c>
      <c r="C945" t="s">
        <v>131</v>
      </c>
      <c r="D945">
        <v>3</v>
      </c>
      <c r="E945">
        <v>13.7</v>
      </c>
      <c r="F945">
        <v>135.19999999999999</v>
      </c>
      <c r="G945">
        <v>2</v>
      </c>
      <c r="H945">
        <v>8</v>
      </c>
      <c r="I945" t="s">
        <v>1666</v>
      </c>
      <c r="J945">
        <v>4.5666666666666664</v>
      </c>
      <c r="K945" t="str">
        <f>_xlfn.XLOOKUP(B945,zones_lookup!A:A,zones_lookup!B:B,"Not found")</f>
        <v>Mr. Salami</v>
      </c>
      <c r="L945">
        <f>_xlfn.XLOOKUP(B945,zones_lookup!A:A,zones_lookup!C:C,"Not found")</f>
        <v>200000</v>
      </c>
    </row>
    <row r="946" spans="1:12" x14ac:dyDescent="0.3">
      <c r="A946" s="2">
        <v>45671</v>
      </c>
      <c r="B946" t="s">
        <v>41</v>
      </c>
      <c r="C946" t="s">
        <v>73</v>
      </c>
      <c r="D946">
        <v>5</v>
      </c>
      <c r="E946">
        <v>34.4</v>
      </c>
      <c r="F946">
        <v>131.6</v>
      </c>
      <c r="G946">
        <v>2</v>
      </c>
      <c r="H946">
        <v>1</v>
      </c>
      <c r="I946" t="s">
        <v>1660</v>
      </c>
      <c r="J946">
        <v>6.88</v>
      </c>
      <c r="K946" t="str">
        <f>_xlfn.XLOOKUP(B946,zones_lookup!A:A,zones_lookup!B:B,"Not found")</f>
        <v>Mrs. Adisa</v>
      </c>
      <c r="L946">
        <f>_xlfn.XLOOKUP(B946,zones_lookup!A:A,zones_lookup!C:C,"Not found")</f>
        <v>633000</v>
      </c>
    </row>
    <row r="947" spans="1:12" x14ac:dyDescent="0.3">
      <c r="A947" s="2">
        <v>45779</v>
      </c>
      <c r="B947" t="s">
        <v>49</v>
      </c>
      <c r="C947" t="s">
        <v>52</v>
      </c>
      <c r="D947">
        <v>5</v>
      </c>
      <c r="E947">
        <v>19.899999999999999</v>
      </c>
      <c r="F947">
        <v>215.5</v>
      </c>
      <c r="G947">
        <v>0</v>
      </c>
      <c r="H947">
        <v>5</v>
      </c>
      <c r="I947" t="s">
        <v>1663</v>
      </c>
      <c r="J947">
        <v>3.9799999999999995</v>
      </c>
      <c r="K947" t="str">
        <f>_xlfn.XLOOKUP(B947,zones_lookup!A:A,zones_lookup!B:B,"Not found")</f>
        <v>Mrs. Johnson</v>
      </c>
      <c r="L947">
        <f>_xlfn.XLOOKUP(B947,zones_lookup!A:A,zones_lookup!C:C,"Not found")</f>
        <v>241000</v>
      </c>
    </row>
    <row r="948" spans="1:12" x14ac:dyDescent="0.3">
      <c r="A948" s="2">
        <v>45801</v>
      </c>
      <c r="B948" t="s">
        <v>93</v>
      </c>
      <c r="C948" t="s">
        <v>101</v>
      </c>
      <c r="D948">
        <v>4</v>
      </c>
      <c r="E948">
        <v>16</v>
      </c>
      <c r="F948">
        <v>167.5</v>
      </c>
      <c r="G948">
        <v>0</v>
      </c>
      <c r="H948">
        <v>5</v>
      </c>
      <c r="I948" t="s">
        <v>1663</v>
      </c>
      <c r="J948">
        <v>4</v>
      </c>
      <c r="K948" t="str">
        <f>_xlfn.XLOOKUP(B948,zones_lookup!A:A,zones_lookup!B:B,"Not found")</f>
        <v>Mr. Ogunleye</v>
      </c>
      <c r="L948">
        <f>_xlfn.XLOOKUP(B948,zones_lookup!A:A,zones_lookup!C:C,"Not found")</f>
        <v>181000</v>
      </c>
    </row>
    <row r="949" spans="1:12" x14ac:dyDescent="0.3">
      <c r="A949" s="2">
        <v>46019</v>
      </c>
      <c r="B949" t="s">
        <v>49</v>
      </c>
      <c r="C949" t="s">
        <v>50</v>
      </c>
      <c r="D949">
        <v>4</v>
      </c>
      <c r="E949">
        <v>22.3</v>
      </c>
      <c r="F949">
        <v>157.6</v>
      </c>
      <c r="G949">
        <v>4</v>
      </c>
      <c r="H949">
        <v>12</v>
      </c>
      <c r="I949" t="s">
        <v>1671</v>
      </c>
      <c r="J949">
        <v>5.5750000000000002</v>
      </c>
      <c r="K949" t="str">
        <f>_xlfn.XLOOKUP(B949,zones_lookup!A:A,zones_lookup!B:B,"Not found")</f>
        <v>Mrs. Johnson</v>
      </c>
      <c r="L949">
        <f>_xlfn.XLOOKUP(B949,zones_lookup!A:A,zones_lookup!C:C,"Not found")</f>
        <v>241000</v>
      </c>
    </row>
    <row r="950" spans="1:12" x14ac:dyDescent="0.3">
      <c r="A950" s="2">
        <v>45915</v>
      </c>
      <c r="B950" t="s">
        <v>60</v>
      </c>
      <c r="C950" t="s">
        <v>61</v>
      </c>
      <c r="D950">
        <v>5</v>
      </c>
      <c r="E950">
        <v>24.1</v>
      </c>
      <c r="F950">
        <v>157.19999999999999</v>
      </c>
      <c r="G950">
        <v>1</v>
      </c>
      <c r="H950">
        <v>9</v>
      </c>
      <c r="I950" t="s">
        <v>1670</v>
      </c>
      <c r="J950">
        <v>4.82</v>
      </c>
      <c r="K950" t="str">
        <f>_xlfn.XLOOKUP(B950,zones_lookup!A:A,zones_lookup!B:B,"Not found")</f>
        <v>Mrs. Eze</v>
      </c>
      <c r="L950">
        <f>_xlfn.XLOOKUP(B950,zones_lookup!A:A,zones_lookup!C:C,"Not found")</f>
        <v>535000</v>
      </c>
    </row>
    <row r="951" spans="1:12" x14ac:dyDescent="0.3">
      <c r="A951" s="2">
        <v>45708</v>
      </c>
      <c r="B951" t="s">
        <v>93</v>
      </c>
      <c r="C951" t="s">
        <v>101</v>
      </c>
      <c r="D951">
        <v>2</v>
      </c>
      <c r="E951">
        <v>6.2</v>
      </c>
      <c r="F951">
        <v>75.8</v>
      </c>
      <c r="G951">
        <v>1</v>
      </c>
      <c r="H951">
        <v>2</v>
      </c>
      <c r="I951" t="s">
        <v>1665</v>
      </c>
      <c r="J951">
        <v>3.1</v>
      </c>
      <c r="K951" t="str">
        <f>_xlfn.XLOOKUP(B951,zones_lookup!A:A,zones_lookup!B:B,"Not found")</f>
        <v>Mr. Ogunleye</v>
      </c>
      <c r="L951">
        <f>_xlfn.XLOOKUP(B951,zones_lookup!A:A,zones_lookup!C:C,"Not found")</f>
        <v>181000</v>
      </c>
    </row>
    <row r="952" spans="1:12" x14ac:dyDescent="0.3">
      <c r="A952" s="2">
        <v>45998</v>
      </c>
      <c r="B952" t="s">
        <v>49</v>
      </c>
      <c r="C952" t="s">
        <v>52</v>
      </c>
      <c r="D952">
        <v>3</v>
      </c>
      <c r="E952">
        <v>15.1</v>
      </c>
      <c r="F952">
        <v>101.5</v>
      </c>
      <c r="G952">
        <v>2</v>
      </c>
      <c r="H952">
        <v>12</v>
      </c>
      <c r="I952" t="s">
        <v>1671</v>
      </c>
      <c r="J952">
        <v>5.0333333333333332</v>
      </c>
      <c r="K952" t="str">
        <f>_xlfn.XLOOKUP(B952,zones_lookup!A:A,zones_lookup!B:B,"Not found")</f>
        <v>Mrs. Johnson</v>
      </c>
      <c r="L952">
        <f>_xlfn.XLOOKUP(B952,zones_lookup!A:A,zones_lookup!C:C,"Not found")</f>
        <v>241000</v>
      </c>
    </row>
    <row r="953" spans="1:12" x14ac:dyDescent="0.3">
      <c r="A953" s="2">
        <v>45822</v>
      </c>
      <c r="B953" t="s">
        <v>76</v>
      </c>
      <c r="C953" t="s">
        <v>80</v>
      </c>
      <c r="D953">
        <v>2</v>
      </c>
      <c r="E953">
        <v>14.3</v>
      </c>
      <c r="F953">
        <v>74.400000000000006</v>
      </c>
      <c r="H953">
        <v>6</v>
      </c>
      <c r="I953" t="s">
        <v>1667</v>
      </c>
      <c r="J953">
        <v>7.15</v>
      </c>
      <c r="K953" t="str">
        <f>_xlfn.XLOOKUP(B953,zones_lookup!A:A,zones_lookup!B:B,"Not found")</f>
        <v>Mr. Adeyemi</v>
      </c>
      <c r="L953">
        <f>_xlfn.XLOOKUP(B953,zones_lookup!A:A,zones_lookup!C:C,"Not found")</f>
        <v>313000</v>
      </c>
    </row>
    <row r="954" spans="1:12" x14ac:dyDescent="0.3">
      <c r="A954" s="2">
        <v>45898</v>
      </c>
      <c r="B954" t="s">
        <v>27</v>
      </c>
      <c r="C954" t="s">
        <v>28</v>
      </c>
      <c r="D954">
        <v>4</v>
      </c>
      <c r="E954">
        <v>30.5</v>
      </c>
      <c r="F954">
        <v>152.5</v>
      </c>
      <c r="G954">
        <v>0</v>
      </c>
      <c r="H954">
        <v>8</v>
      </c>
      <c r="I954" t="s">
        <v>1666</v>
      </c>
      <c r="J954">
        <v>7.625</v>
      </c>
      <c r="K954" t="str">
        <f>_xlfn.XLOOKUP(B954,zones_lookup!A:A,zones_lookup!B:B,"Not found")</f>
        <v>Mr. Bello</v>
      </c>
      <c r="L954">
        <f>_xlfn.XLOOKUP(B954,zones_lookup!A:A,zones_lookup!C:C,"Not found")</f>
        <v>1288000</v>
      </c>
    </row>
    <row r="955" spans="1:12" x14ac:dyDescent="0.3">
      <c r="A955" s="2">
        <v>45724</v>
      </c>
      <c r="B955" t="s">
        <v>76</v>
      </c>
      <c r="C955" t="s">
        <v>77</v>
      </c>
      <c r="D955">
        <v>6</v>
      </c>
      <c r="E955">
        <v>45.8</v>
      </c>
      <c r="F955">
        <v>251.1</v>
      </c>
      <c r="G955">
        <v>0</v>
      </c>
      <c r="H955">
        <v>3</v>
      </c>
      <c r="I955" t="s">
        <v>1662</v>
      </c>
      <c r="J955">
        <v>7.6333333333333329</v>
      </c>
      <c r="K955" t="str">
        <f>_xlfn.XLOOKUP(B955,zones_lookup!A:A,zones_lookup!B:B,"Not found")</f>
        <v>Mr. Adeyemi</v>
      </c>
      <c r="L955">
        <f>_xlfn.XLOOKUP(B955,zones_lookup!A:A,zones_lookup!C:C,"Not found")</f>
        <v>313000</v>
      </c>
    </row>
    <row r="956" spans="1:12" x14ac:dyDescent="0.3">
      <c r="A956" s="2">
        <v>45866</v>
      </c>
      <c r="B956" t="s">
        <v>76</v>
      </c>
      <c r="C956" t="s">
        <v>80</v>
      </c>
      <c r="D956">
        <v>3</v>
      </c>
      <c r="E956">
        <v>18</v>
      </c>
      <c r="F956">
        <v>109.7</v>
      </c>
      <c r="G956">
        <v>1</v>
      </c>
      <c r="H956">
        <v>7</v>
      </c>
      <c r="I956" t="s">
        <v>1661</v>
      </c>
      <c r="J956">
        <v>6</v>
      </c>
      <c r="K956" t="str">
        <f>_xlfn.XLOOKUP(B956,zones_lookup!A:A,zones_lookup!B:B,"Not found")</f>
        <v>Mr. Adeyemi</v>
      </c>
      <c r="L956">
        <f>_xlfn.XLOOKUP(B956,zones_lookup!A:A,zones_lookup!C:C,"Not found")</f>
        <v>313000</v>
      </c>
    </row>
    <row r="957" spans="1:12" x14ac:dyDescent="0.3">
      <c r="A957" s="2">
        <v>45716</v>
      </c>
      <c r="B957" t="s">
        <v>41</v>
      </c>
      <c r="C957" t="s">
        <v>42</v>
      </c>
      <c r="D957">
        <v>4</v>
      </c>
      <c r="E957">
        <v>19.2</v>
      </c>
      <c r="F957">
        <v>157.19999999999999</v>
      </c>
      <c r="G957">
        <v>3</v>
      </c>
      <c r="H957">
        <v>2</v>
      </c>
      <c r="I957" t="s">
        <v>1665</v>
      </c>
      <c r="J957">
        <v>4.8</v>
      </c>
      <c r="K957" t="str">
        <f>_xlfn.XLOOKUP(B957,zones_lookup!A:A,zones_lookup!B:B,"Not found")</f>
        <v>Mrs. Adisa</v>
      </c>
      <c r="L957">
        <f>_xlfn.XLOOKUP(B957,zones_lookup!A:A,zones_lookup!C:C,"Not found")</f>
        <v>633000</v>
      </c>
    </row>
    <row r="958" spans="1:12" x14ac:dyDescent="0.3">
      <c r="A958" s="2">
        <v>45756</v>
      </c>
      <c r="B958" t="s">
        <v>60</v>
      </c>
      <c r="C958" t="s">
        <v>61</v>
      </c>
      <c r="D958">
        <v>6</v>
      </c>
      <c r="E958">
        <v>25.7</v>
      </c>
      <c r="F958">
        <v>198.4</v>
      </c>
      <c r="G958">
        <v>1</v>
      </c>
      <c r="H958">
        <v>4</v>
      </c>
      <c r="I958" t="s">
        <v>1668</v>
      </c>
      <c r="J958">
        <v>4.2833333333333332</v>
      </c>
      <c r="K958" t="str">
        <f>_xlfn.XLOOKUP(B958,zones_lookup!A:A,zones_lookup!B:B,"Not found")</f>
        <v>Mrs. Eze</v>
      </c>
      <c r="L958">
        <f>_xlfn.XLOOKUP(B958,zones_lookup!A:A,zones_lookup!C:C,"Not found")</f>
        <v>535000</v>
      </c>
    </row>
    <row r="959" spans="1:12" x14ac:dyDescent="0.3">
      <c r="A959" s="2">
        <v>45671</v>
      </c>
      <c r="B959" t="s">
        <v>27</v>
      </c>
      <c r="C959" t="s">
        <v>34</v>
      </c>
      <c r="D959">
        <v>5</v>
      </c>
      <c r="E959">
        <v>34.200000000000003</v>
      </c>
      <c r="F959">
        <v>143.5</v>
      </c>
      <c r="G959">
        <v>0</v>
      </c>
      <c r="H959">
        <v>1</v>
      </c>
      <c r="I959" t="s">
        <v>1660</v>
      </c>
      <c r="J959">
        <v>6.8400000000000007</v>
      </c>
      <c r="K959" t="str">
        <f>_xlfn.XLOOKUP(B959,zones_lookup!A:A,zones_lookup!B:B,"Not found")</f>
        <v>Mr. Bello</v>
      </c>
      <c r="L959">
        <f>_xlfn.XLOOKUP(B959,zones_lookup!A:A,zones_lookup!C:C,"Not found")</f>
        <v>1288000</v>
      </c>
    </row>
    <row r="960" spans="1:12" x14ac:dyDescent="0.3">
      <c r="A960" s="2">
        <v>45793</v>
      </c>
      <c r="B960" t="s">
        <v>93</v>
      </c>
      <c r="C960" t="s">
        <v>57</v>
      </c>
      <c r="D960">
        <v>6</v>
      </c>
      <c r="E960">
        <v>22.3</v>
      </c>
      <c r="F960">
        <v>223.6</v>
      </c>
      <c r="G960">
        <v>2</v>
      </c>
      <c r="H960">
        <v>5</v>
      </c>
      <c r="I960" t="s">
        <v>1663</v>
      </c>
      <c r="J960">
        <v>3.7166666666666668</v>
      </c>
      <c r="K960" t="str">
        <f>_xlfn.XLOOKUP(B960,zones_lookup!A:A,zones_lookup!B:B,"Not found")</f>
        <v>Mr. Ogunleye</v>
      </c>
      <c r="L960">
        <f>_xlfn.XLOOKUP(B960,zones_lookup!A:A,zones_lookup!C:C,"Not found")</f>
        <v>181000</v>
      </c>
    </row>
    <row r="961" spans="1:12" x14ac:dyDescent="0.3">
      <c r="A961" s="2">
        <v>46002</v>
      </c>
      <c r="B961" t="s">
        <v>76</v>
      </c>
      <c r="C961" t="s">
        <v>84</v>
      </c>
      <c r="D961">
        <v>4</v>
      </c>
      <c r="E961">
        <v>35.200000000000003</v>
      </c>
      <c r="F961">
        <v>139.1</v>
      </c>
      <c r="G961">
        <v>1</v>
      </c>
      <c r="H961">
        <v>12</v>
      </c>
      <c r="I961" t="s">
        <v>1671</v>
      </c>
      <c r="J961">
        <v>8.8000000000000007</v>
      </c>
      <c r="K961" t="str">
        <f>_xlfn.XLOOKUP(B961,zones_lookup!A:A,zones_lookup!B:B,"Not found")</f>
        <v>Mr. Adeyemi</v>
      </c>
      <c r="L961">
        <f>_xlfn.XLOOKUP(B961,zones_lookup!A:A,zones_lookup!C:C,"Not found")</f>
        <v>313000</v>
      </c>
    </row>
    <row r="962" spans="1:12" x14ac:dyDescent="0.3">
      <c r="A962" s="2">
        <v>45794</v>
      </c>
      <c r="B962" t="s">
        <v>108</v>
      </c>
      <c r="C962" t="s">
        <v>109</v>
      </c>
      <c r="D962">
        <v>5</v>
      </c>
      <c r="E962">
        <v>29.7</v>
      </c>
      <c r="F962">
        <v>216.9</v>
      </c>
      <c r="G962">
        <v>0</v>
      </c>
      <c r="H962">
        <v>5</v>
      </c>
      <c r="I962" t="s">
        <v>1663</v>
      </c>
      <c r="J962">
        <v>5.9399999999999995</v>
      </c>
      <c r="K962" t="str">
        <f>_xlfn.XLOOKUP(B962,zones_lookup!A:A,zones_lookup!B:B,"Not found")</f>
        <v>Mrs. Okafor</v>
      </c>
      <c r="L962">
        <f>_xlfn.XLOOKUP(B962,zones_lookup!A:A,zones_lookup!C:C,"Not found")</f>
        <v>503000</v>
      </c>
    </row>
    <row r="963" spans="1:12" x14ac:dyDescent="0.3">
      <c r="A963" s="2">
        <v>45675</v>
      </c>
      <c r="B963" t="s">
        <v>89</v>
      </c>
      <c r="C963" t="s">
        <v>131</v>
      </c>
      <c r="D963">
        <v>4</v>
      </c>
      <c r="E963">
        <v>16.8</v>
      </c>
      <c r="F963">
        <v>169.2</v>
      </c>
      <c r="G963">
        <v>1</v>
      </c>
      <c r="H963">
        <v>1</v>
      </c>
      <c r="I963" t="s">
        <v>1660</v>
      </c>
      <c r="J963">
        <v>4.2</v>
      </c>
      <c r="K963" t="str">
        <f>_xlfn.XLOOKUP(B963,zones_lookup!A:A,zones_lookup!B:B,"Not found")</f>
        <v>Mr. Salami</v>
      </c>
      <c r="L963">
        <f>_xlfn.XLOOKUP(B963,zones_lookup!A:A,zones_lookup!C:C,"Not found")</f>
        <v>200000</v>
      </c>
    </row>
    <row r="964" spans="1:12" x14ac:dyDescent="0.3">
      <c r="A964" s="2">
        <v>45726</v>
      </c>
      <c r="B964" t="s">
        <v>60</v>
      </c>
      <c r="C964" t="s">
        <v>69</v>
      </c>
      <c r="D964">
        <v>2</v>
      </c>
      <c r="E964">
        <v>8.3000000000000007</v>
      </c>
      <c r="F964">
        <v>75</v>
      </c>
      <c r="G964">
        <v>4</v>
      </c>
      <c r="H964">
        <v>3</v>
      </c>
      <c r="I964" t="s">
        <v>1662</v>
      </c>
      <c r="J964">
        <v>4.1500000000000004</v>
      </c>
      <c r="K964" t="str">
        <f>_xlfn.XLOOKUP(B964,zones_lookup!A:A,zones_lookup!B:B,"Not found")</f>
        <v>Mrs. Eze</v>
      </c>
      <c r="L964">
        <f>_xlfn.XLOOKUP(B964,zones_lookup!A:A,zones_lookup!C:C,"Not found")</f>
        <v>535000</v>
      </c>
    </row>
    <row r="965" spans="1:12" x14ac:dyDescent="0.3">
      <c r="A965" s="2">
        <v>45953</v>
      </c>
      <c r="B965" t="s">
        <v>108</v>
      </c>
      <c r="C965" t="s">
        <v>208</v>
      </c>
      <c r="D965">
        <v>4</v>
      </c>
      <c r="E965">
        <v>26.6</v>
      </c>
      <c r="F965">
        <v>165.2</v>
      </c>
      <c r="G965">
        <v>2</v>
      </c>
      <c r="H965">
        <v>10</v>
      </c>
      <c r="I965" t="s">
        <v>1669</v>
      </c>
      <c r="J965">
        <v>6.65</v>
      </c>
      <c r="K965" t="str">
        <f>_xlfn.XLOOKUP(B965,zones_lookup!A:A,zones_lookup!B:B,"Not found")</f>
        <v>Mrs. Okafor</v>
      </c>
      <c r="L965">
        <f>_xlfn.XLOOKUP(B965,zones_lookup!A:A,zones_lookup!C:C,"Not found")</f>
        <v>503000</v>
      </c>
    </row>
    <row r="966" spans="1:12" x14ac:dyDescent="0.3">
      <c r="A966" s="2">
        <v>45697</v>
      </c>
      <c r="B966" t="s">
        <v>49</v>
      </c>
      <c r="C966" t="s">
        <v>50</v>
      </c>
      <c r="D966">
        <v>5</v>
      </c>
      <c r="E966">
        <v>17.899999999999999</v>
      </c>
      <c r="F966">
        <v>191.4</v>
      </c>
      <c r="G966">
        <v>1</v>
      </c>
      <c r="H966">
        <v>2</v>
      </c>
      <c r="I966" t="s">
        <v>1665</v>
      </c>
      <c r="J966">
        <v>3.5799999999999996</v>
      </c>
      <c r="K966" t="str">
        <f>_xlfn.XLOOKUP(B966,zones_lookup!A:A,zones_lookup!B:B,"Not found")</f>
        <v>Mrs. Johnson</v>
      </c>
      <c r="L966">
        <f>_xlfn.XLOOKUP(B966,zones_lookup!A:A,zones_lookup!C:C,"Not found")</f>
        <v>241000</v>
      </c>
    </row>
    <row r="967" spans="1:12" x14ac:dyDescent="0.3">
      <c r="A967" s="2">
        <v>45738</v>
      </c>
      <c r="B967" t="s">
        <v>60</v>
      </c>
      <c r="C967" t="s">
        <v>61</v>
      </c>
      <c r="D967">
        <v>5</v>
      </c>
      <c r="E967">
        <v>18.399999999999999</v>
      </c>
      <c r="G967">
        <v>2</v>
      </c>
      <c r="H967">
        <v>3</v>
      </c>
      <c r="I967" t="s">
        <v>1662</v>
      </c>
      <c r="J967">
        <v>3.6799999999999997</v>
      </c>
      <c r="K967" t="str">
        <f>_xlfn.XLOOKUP(B967,zones_lookup!A:A,zones_lookup!B:B,"Not found")</f>
        <v>Mrs. Eze</v>
      </c>
      <c r="L967">
        <f>_xlfn.XLOOKUP(B967,zones_lookup!A:A,zones_lookup!C:C,"Not found")</f>
        <v>535000</v>
      </c>
    </row>
    <row r="968" spans="1:12" x14ac:dyDescent="0.3">
      <c r="A968" s="2">
        <v>45827</v>
      </c>
      <c r="B968" t="s">
        <v>76</v>
      </c>
      <c r="C968" t="s">
        <v>77</v>
      </c>
      <c r="D968">
        <v>6</v>
      </c>
      <c r="E968">
        <v>42.7</v>
      </c>
      <c r="F968">
        <v>186.8</v>
      </c>
      <c r="G968">
        <v>1</v>
      </c>
      <c r="H968">
        <v>6</v>
      </c>
      <c r="I968" t="s">
        <v>1667</v>
      </c>
      <c r="J968">
        <v>7.1166666666666671</v>
      </c>
      <c r="K968" t="str">
        <f>_xlfn.XLOOKUP(B968,zones_lookup!A:A,zones_lookup!B:B,"Not found")</f>
        <v>Mr. Adeyemi</v>
      </c>
      <c r="L968">
        <f>_xlfn.XLOOKUP(B968,zones_lookup!A:A,zones_lookup!C:C,"Not found")</f>
        <v>313000</v>
      </c>
    </row>
    <row r="969" spans="1:12" x14ac:dyDescent="0.3">
      <c r="A969" s="2">
        <v>45822</v>
      </c>
      <c r="B969" t="s">
        <v>27</v>
      </c>
      <c r="C969" t="s">
        <v>34</v>
      </c>
      <c r="D969">
        <v>6</v>
      </c>
      <c r="E969">
        <v>38.299999999999997</v>
      </c>
      <c r="F969">
        <v>237.1</v>
      </c>
      <c r="G969">
        <v>1</v>
      </c>
      <c r="H969">
        <v>6</v>
      </c>
      <c r="I969" t="s">
        <v>1667</v>
      </c>
      <c r="J969">
        <v>6.3833333333333329</v>
      </c>
      <c r="K969" t="str">
        <f>_xlfn.XLOOKUP(B969,zones_lookup!A:A,zones_lookup!B:B,"Not found")</f>
        <v>Mr. Bello</v>
      </c>
      <c r="L969">
        <f>_xlfn.XLOOKUP(B969,zones_lookup!A:A,zones_lookup!C:C,"Not found")</f>
        <v>1288000</v>
      </c>
    </row>
    <row r="970" spans="1:12" x14ac:dyDescent="0.3">
      <c r="A970" s="2">
        <v>46000</v>
      </c>
      <c r="B970" t="s">
        <v>60</v>
      </c>
      <c r="C970" t="s">
        <v>64</v>
      </c>
      <c r="D970">
        <v>4</v>
      </c>
      <c r="E970">
        <v>19.2</v>
      </c>
      <c r="F970">
        <v>159.5</v>
      </c>
      <c r="G970">
        <v>3</v>
      </c>
      <c r="H970">
        <v>12</v>
      </c>
      <c r="I970" t="s">
        <v>1671</v>
      </c>
      <c r="J970">
        <v>4.8</v>
      </c>
      <c r="K970" t="str">
        <f>_xlfn.XLOOKUP(B970,zones_lookup!A:A,zones_lookup!B:B,"Not found")</f>
        <v>Mrs. Eze</v>
      </c>
      <c r="L970">
        <f>_xlfn.XLOOKUP(B970,zones_lookup!A:A,zones_lookup!C:C,"Not found")</f>
        <v>535000</v>
      </c>
    </row>
    <row r="971" spans="1:12" x14ac:dyDescent="0.3">
      <c r="A971" s="2">
        <v>45826</v>
      </c>
      <c r="B971" t="s">
        <v>60</v>
      </c>
      <c r="C971" t="s">
        <v>69</v>
      </c>
      <c r="D971">
        <v>6</v>
      </c>
      <c r="E971">
        <v>24.3</v>
      </c>
      <c r="F971">
        <v>244.5</v>
      </c>
      <c r="G971">
        <v>2</v>
      </c>
      <c r="H971">
        <v>6</v>
      </c>
      <c r="I971" t="s">
        <v>1667</v>
      </c>
      <c r="J971">
        <v>4.05</v>
      </c>
      <c r="K971" t="str">
        <f>_xlfn.XLOOKUP(B971,zones_lookup!A:A,zones_lookup!B:B,"Not found")</f>
        <v>Mrs. Eze</v>
      </c>
      <c r="L971">
        <f>_xlfn.XLOOKUP(B971,zones_lookup!A:A,zones_lookup!C:C,"Not found")</f>
        <v>535000</v>
      </c>
    </row>
    <row r="972" spans="1:12" x14ac:dyDescent="0.3">
      <c r="A972" s="2">
        <v>45894</v>
      </c>
      <c r="B972" t="s">
        <v>60</v>
      </c>
      <c r="C972" t="s">
        <v>64</v>
      </c>
      <c r="D972">
        <v>2</v>
      </c>
      <c r="E972">
        <v>8.1999999999999993</v>
      </c>
      <c r="F972">
        <v>73.3</v>
      </c>
      <c r="G972">
        <v>3</v>
      </c>
      <c r="H972">
        <v>8</v>
      </c>
      <c r="I972" t="s">
        <v>1666</v>
      </c>
      <c r="J972">
        <v>4.0999999999999996</v>
      </c>
      <c r="K972" t="str">
        <f>_xlfn.XLOOKUP(B972,zones_lookup!A:A,zones_lookup!B:B,"Not found")</f>
        <v>Mrs. Eze</v>
      </c>
      <c r="L972">
        <f>_xlfn.XLOOKUP(B972,zones_lookup!A:A,zones_lookup!C:C,"Not found")</f>
        <v>535000</v>
      </c>
    </row>
    <row r="973" spans="1:12" x14ac:dyDescent="0.3">
      <c r="A973" s="2">
        <v>45982</v>
      </c>
      <c r="B973" t="s">
        <v>93</v>
      </c>
      <c r="C973" t="s">
        <v>101</v>
      </c>
      <c r="D973">
        <v>2</v>
      </c>
      <c r="E973">
        <v>5.5</v>
      </c>
      <c r="F973">
        <v>62.2</v>
      </c>
      <c r="G973">
        <v>1</v>
      </c>
      <c r="H973">
        <v>11</v>
      </c>
      <c r="I973" t="s">
        <v>1664</v>
      </c>
      <c r="J973">
        <v>2.75</v>
      </c>
      <c r="K973" t="str">
        <f>_xlfn.XLOOKUP(B973,zones_lookup!A:A,zones_lookup!B:B,"Not found")</f>
        <v>Mr. Ogunleye</v>
      </c>
      <c r="L973">
        <f>_xlfn.XLOOKUP(B973,zones_lookup!A:A,zones_lookup!C:C,"Not found")</f>
        <v>181000</v>
      </c>
    </row>
    <row r="974" spans="1:12" x14ac:dyDescent="0.3">
      <c r="A974" s="2">
        <v>45806</v>
      </c>
      <c r="B974" t="s">
        <v>41</v>
      </c>
      <c r="C974" t="s">
        <v>73</v>
      </c>
      <c r="D974">
        <v>4</v>
      </c>
      <c r="E974">
        <v>27.8</v>
      </c>
      <c r="F974">
        <v>158.80000000000001</v>
      </c>
      <c r="G974">
        <v>2</v>
      </c>
      <c r="H974">
        <v>5</v>
      </c>
      <c r="I974" t="s">
        <v>1663</v>
      </c>
      <c r="J974">
        <v>6.95</v>
      </c>
      <c r="K974" t="str">
        <f>_xlfn.XLOOKUP(B974,zones_lookup!A:A,zones_lookup!B:B,"Not found")</f>
        <v>Mrs. Adisa</v>
      </c>
      <c r="L974">
        <f>_xlfn.XLOOKUP(B974,zones_lookup!A:A,zones_lookup!C:C,"Not found")</f>
        <v>633000</v>
      </c>
    </row>
    <row r="975" spans="1:12" x14ac:dyDescent="0.3">
      <c r="A975" s="2">
        <v>45712</v>
      </c>
      <c r="B975" t="s">
        <v>27</v>
      </c>
      <c r="C975" t="s">
        <v>28</v>
      </c>
      <c r="D975">
        <v>3</v>
      </c>
      <c r="E975">
        <v>26.2</v>
      </c>
      <c r="F975">
        <v>91.4</v>
      </c>
      <c r="G975">
        <v>0</v>
      </c>
      <c r="H975">
        <v>2</v>
      </c>
      <c r="I975" t="s">
        <v>1665</v>
      </c>
      <c r="J975">
        <v>8.7333333333333325</v>
      </c>
      <c r="K975" t="str">
        <f>_xlfn.XLOOKUP(B975,zones_lookup!A:A,zones_lookup!B:B,"Not found")</f>
        <v>Mr. Bello</v>
      </c>
      <c r="L975">
        <f>_xlfn.XLOOKUP(B975,zones_lookup!A:A,zones_lookup!C:C,"Not found")</f>
        <v>1288000</v>
      </c>
    </row>
    <row r="976" spans="1:12" x14ac:dyDescent="0.3">
      <c r="A976" s="2">
        <v>45775</v>
      </c>
      <c r="B976" t="s">
        <v>27</v>
      </c>
      <c r="C976" t="s">
        <v>34</v>
      </c>
      <c r="D976">
        <v>2</v>
      </c>
      <c r="E976">
        <v>15.6</v>
      </c>
      <c r="F976">
        <v>68.599999999999994</v>
      </c>
      <c r="G976">
        <v>0</v>
      </c>
      <c r="H976">
        <v>4</v>
      </c>
      <c r="I976" t="s">
        <v>1668</v>
      </c>
      <c r="J976">
        <v>7.8</v>
      </c>
      <c r="K976" t="str">
        <f>_xlfn.XLOOKUP(B976,zones_lookup!A:A,zones_lookup!B:B,"Not found")</f>
        <v>Mr. Bello</v>
      </c>
      <c r="L976">
        <f>_xlfn.XLOOKUP(B976,zones_lookup!A:A,zones_lookup!C:C,"Not found")</f>
        <v>1288000</v>
      </c>
    </row>
    <row r="977" spans="1:12" x14ac:dyDescent="0.3">
      <c r="A977" s="2">
        <v>45729</v>
      </c>
      <c r="B977" t="s">
        <v>49</v>
      </c>
      <c r="C977" t="s">
        <v>52</v>
      </c>
      <c r="D977">
        <v>3</v>
      </c>
      <c r="E977">
        <v>10</v>
      </c>
      <c r="F977">
        <v>66.8</v>
      </c>
      <c r="G977">
        <v>4</v>
      </c>
      <c r="H977">
        <v>3</v>
      </c>
      <c r="I977" t="s">
        <v>1662</v>
      </c>
      <c r="J977">
        <v>3.3333333333333335</v>
      </c>
      <c r="K977" t="str">
        <f>_xlfn.XLOOKUP(B977,zones_lookup!A:A,zones_lookup!B:B,"Not found")</f>
        <v>Mrs. Johnson</v>
      </c>
      <c r="L977">
        <f>_xlfn.XLOOKUP(B977,zones_lookup!A:A,zones_lookup!C:C,"Not found")</f>
        <v>241000</v>
      </c>
    </row>
    <row r="978" spans="1:12" x14ac:dyDescent="0.3">
      <c r="A978" s="2">
        <v>45995</v>
      </c>
      <c r="B978" t="s">
        <v>60</v>
      </c>
      <c r="C978" t="s">
        <v>64</v>
      </c>
      <c r="D978">
        <v>5</v>
      </c>
      <c r="E978">
        <v>29.6</v>
      </c>
      <c r="F978">
        <v>201.4</v>
      </c>
      <c r="G978">
        <v>5</v>
      </c>
      <c r="H978">
        <v>12</v>
      </c>
      <c r="I978" t="s">
        <v>1671</v>
      </c>
      <c r="J978">
        <v>5.92</v>
      </c>
      <c r="K978" t="str">
        <f>_xlfn.XLOOKUP(B978,zones_lookup!A:A,zones_lookup!B:B,"Not found")</f>
        <v>Mrs. Eze</v>
      </c>
      <c r="L978">
        <f>_xlfn.XLOOKUP(B978,zones_lookup!A:A,zones_lookup!C:C,"Not found")</f>
        <v>535000</v>
      </c>
    </row>
    <row r="979" spans="1:12" x14ac:dyDescent="0.3">
      <c r="A979" s="2">
        <v>45830</v>
      </c>
      <c r="B979" t="s">
        <v>76</v>
      </c>
      <c r="C979" t="s">
        <v>80</v>
      </c>
      <c r="D979">
        <v>6</v>
      </c>
      <c r="E979">
        <v>34.799999999999997</v>
      </c>
      <c r="F979">
        <v>254.1</v>
      </c>
      <c r="G979">
        <v>0</v>
      </c>
      <c r="H979">
        <v>6</v>
      </c>
      <c r="I979" t="s">
        <v>1667</v>
      </c>
      <c r="J979">
        <v>5.8</v>
      </c>
      <c r="K979" t="str">
        <f>_xlfn.XLOOKUP(B979,zones_lookup!A:A,zones_lookup!B:B,"Not found")</f>
        <v>Mr. Adeyemi</v>
      </c>
      <c r="L979">
        <f>_xlfn.XLOOKUP(B979,zones_lookup!A:A,zones_lookup!C:C,"Not found")</f>
        <v>313000</v>
      </c>
    </row>
    <row r="980" spans="1:12" x14ac:dyDescent="0.3">
      <c r="A980" s="2">
        <v>45993</v>
      </c>
      <c r="B980" t="s">
        <v>76</v>
      </c>
      <c r="C980" t="s">
        <v>80</v>
      </c>
      <c r="D980">
        <v>2</v>
      </c>
      <c r="E980">
        <v>19.8</v>
      </c>
      <c r="F980">
        <v>85.4</v>
      </c>
      <c r="G980">
        <v>2</v>
      </c>
      <c r="H980">
        <v>12</v>
      </c>
      <c r="I980" t="s">
        <v>1671</v>
      </c>
      <c r="J980">
        <v>9.9</v>
      </c>
      <c r="K980" t="str">
        <f>_xlfn.XLOOKUP(B980,zones_lookup!A:A,zones_lookup!B:B,"Not found")</f>
        <v>Mr. Adeyemi</v>
      </c>
      <c r="L980">
        <f>_xlfn.XLOOKUP(B980,zones_lookup!A:A,zones_lookup!C:C,"Not found")</f>
        <v>313000</v>
      </c>
    </row>
    <row r="981" spans="1:12" x14ac:dyDescent="0.3">
      <c r="A981" s="2">
        <v>45945</v>
      </c>
      <c r="B981" t="s">
        <v>89</v>
      </c>
      <c r="C981" t="s">
        <v>131</v>
      </c>
      <c r="D981">
        <v>5</v>
      </c>
      <c r="E981">
        <v>22.9</v>
      </c>
      <c r="F981">
        <v>193.4</v>
      </c>
      <c r="G981">
        <v>1</v>
      </c>
      <c r="H981">
        <v>10</v>
      </c>
      <c r="I981" t="s">
        <v>1669</v>
      </c>
      <c r="J981">
        <v>4.58</v>
      </c>
      <c r="K981" t="str">
        <f>_xlfn.XLOOKUP(B981,zones_lookup!A:A,zones_lookup!B:B,"Not found")</f>
        <v>Mr. Salami</v>
      </c>
      <c r="L981">
        <f>_xlfn.XLOOKUP(B981,zones_lookup!A:A,zones_lookup!C:C,"Not found")</f>
        <v>200000</v>
      </c>
    </row>
    <row r="982" spans="1:12" x14ac:dyDescent="0.3">
      <c r="A982" s="2">
        <v>45681</v>
      </c>
      <c r="B982" t="s">
        <v>49</v>
      </c>
      <c r="C982" t="s">
        <v>50</v>
      </c>
      <c r="D982">
        <v>3</v>
      </c>
      <c r="E982">
        <v>10</v>
      </c>
      <c r="F982">
        <v>111.3</v>
      </c>
      <c r="G982">
        <v>3</v>
      </c>
      <c r="H982">
        <v>1</v>
      </c>
      <c r="I982" t="s">
        <v>1660</v>
      </c>
      <c r="J982">
        <v>3.3333333333333335</v>
      </c>
      <c r="K982" t="str">
        <f>_xlfn.XLOOKUP(B982,zones_lookup!A:A,zones_lookup!B:B,"Not found")</f>
        <v>Mrs. Johnson</v>
      </c>
      <c r="L982">
        <f>_xlfn.XLOOKUP(B982,zones_lookup!A:A,zones_lookup!C:C,"Not found")</f>
        <v>241000</v>
      </c>
    </row>
    <row r="983" spans="1:12" x14ac:dyDescent="0.3">
      <c r="A983" s="2">
        <v>45700</v>
      </c>
      <c r="B983" t="s">
        <v>76</v>
      </c>
      <c r="C983" t="s">
        <v>84</v>
      </c>
      <c r="D983">
        <v>2</v>
      </c>
      <c r="F983">
        <v>79.7</v>
      </c>
      <c r="G983">
        <v>0</v>
      </c>
      <c r="H983">
        <v>2</v>
      </c>
      <c r="I983" t="s">
        <v>1665</v>
      </c>
      <c r="K983" t="str">
        <f>_xlfn.XLOOKUP(B983,zones_lookup!A:A,zones_lookup!B:B,"Not found")</f>
        <v>Mr. Adeyemi</v>
      </c>
      <c r="L983">
        <f>_xlfn.XLOOKUP(B983,zones_lookup!A:A,zones_lookup!C:C,"Not found")</f>
        <v>313000</v>
      </c>
    </row>
    <row r="984" spans="1:12" x14ac:dyDescent="0.3">
      <c r="A984" s="2">
        <v>45670</v>
      </c>
      <c r="B984" t="s">
        <v>76</v>
      </c>
      <c r="C984" t="s">
        <v>77</v>
      </c>
      <c r="D984">
        <v>2</v>
      </c>
      <c r="E984">
        <v>12.6</v>
      </c>
      <c r="F984">
        <v>66.3</v>
      </c>
      <c r="G984">
        <v>1</v>
      </c>
      <c r="H984">
        <v>1</v>
      </c>
      <c r="I984" t="s">
        <v>1660</v>
      </c>
      <c r="J984">
        <v>6.3</v>
      </c>
      <c r="K984" t="str">
        <f>_xlfn.XLOOKUP(B984,zones_lookup!A:A,zones_lookup!B:B,"Not found")</f>
        <v>Mr. Adeyemi</v>
      </c>
      <c r="L984">
        <f>_xlfn.XLOOKUP(B984,zones_lookup!A:A,zones_lookup!C:C,"Not found")</f>
        <v>313000</v>
      </c>
    </row>
    <row r="985" spans="1:12" x14ac:dyDescent="0.3">
      <c r="A985" s="2">
        <v>45777</v>
      </c>
      <c r="B985" t="s">
        <v>27</v>
      </c>
      <c r="C985" t="s">
        <v>28</v>
      </c>
      <c r="D985">
        <v>4</v>
      </c>
      <c r="E985">
        <v>29.3</v>
      </c>
      <c r="F985">
        <v>181.8</v>
      </c>
      <c r="G985">
        <v>1</v>
      </c>
      <c r="H985">
        <v>4</v>
      </c>
      <c r="I985" t="s">
        <v>1668</v>
      </c>
      <c r="J985">
        <v>7.3250000000000002</v>
      </c>
      <c r="K985" t="str">
        <f>_xlfn.XLOOKUP(B985,zones_lookup!A:A,zones_lookup!B:B,"Not found")</f>
        <v>Mr. Bello</v>
      </c>
      <c r="L985">
        <f>_xlfn.XLOOKUP(B985,zones_lookup!A:A,zones_lookup!C:C,"Not found")</f>
        <v>1288000</v>
      </c>
    </row>
    <row r="986" spans="1:12" x14ac:dyDescent="0.3">
      <c r="A986" s="2">
        <v>45955</v>
      </c>
      <c r="B986" t="s">
        <v>108</v>
      </c>
      <c r="C986" t="s">
        <v>208</v>
      </c>
      <c r="D986">
        <v>3</v>
      </c>
      <c r="E986">
        <v>17</v>
      </c>
      <c r="F986">
        <v>132.6</v>
      </c>
      <c r="G986">
        <v>1</v>
      </c>
      <c r="H986">
        <v>10</v>
      </c>
      <c r="I986" t="s">
        <v>1669</v>
      </c>
      <c r="J986">
        <v>5.666666666666667</v>
      </c>
      <c r="K986" t="str">
        <f>_xlfn.XLOOKUP(B986,zones_lookup!A:A,zones_lookup!B:B,"Not found")</f>
        <v>Mrs. Okafor</v>
      </c>
      <c r="L986">
        <f>_xlfn.XLOOKUP(B986,zones_lookup!A:A,zones_lookup!C:C,"Not found")</f>
        <v>503000</v>
      </c>
    </row>
    <row r="987" spans="1:12" x14ac:dyDescent="0.3">
      <c r="A987" s="2">
        <v>45668</v>
      </c>
      <c r="B987" t="s">
        <v>27</v>
      </c>
      <c r="C987" t="s">
        <v>38</v>
      </c>
      <c r="D987">
        <v>3</v>
      </c>
      <c r="E987">
        <v>21.2</v>
      </c>
      <c r="F987">
        <v>121.9</v>
      </c>
      <c r="G987">
        <v>3</v>
      </c>
      <c r="H987">
        <v>1</v>
      </c>
      <c r="I987" t="s">
        <v>1660</v>
      </c>
      <c r="J987">
        <v>7.0666666666666664</v>
      </c>
      <c r="K987" t="str">
        <f>_xlfn.XLOOKUP(B987,zones_lookup!A:A,zones_lookup!B:B,"Not found")</f>
        <v>Mr. Bello</v>
      </c>
      <c r="L987">
        <f>_xlfn.XLOOKUP(B987,zones_lookup!A:A,zones_lookup!C:C,"Not found")</f>
        <v>1288000</v>
      </c>
    </row>
    <row r="988" spans="1:12" x14ac:dyDescent="0.3">
      <c r="A988" s="2">
        <v>45716</v>
      </c>
      <c r="B988" t="s">
        <v>93</v>
      </c>
      <c r="C988" t="s">
        <v>101</v>
      </c>
      <c r="D988">
        <v>2</v>
      </c>
      <c r="E988">
        <v>6.1</v>
      </c>
      <c r="F988">
        <v>61.3</v>
      </c>
      <c r="G988">
        <v>4</v>
      </c>
      <c r="H988">
        <v>2</v>
      </c>
      <c r="I988" t="s">
        <v>1665</v>
      </c>
      <c r="J988">
        <v>3.05</v>
      </c>
      <c r="K988" t="str">
        <f>_xlfn.XLOOKUP(B988,zones_lookup!A:A,zones_lookup!B:B,"Not found")</f>
        <v>Mr. Ogunleye</v>
      </c>
      <c r="L988">
        <f>_xlfn.XLOOKUP(B988,zones_lookup!A:A,zones_lookup!C:C,"Not found")</f>
        <v>181000</v>
      </c>
    </row>
    <row r="989" spans="1:12" x14ac:dyDescent="0.3">
      <c r="A989" s="2">
        <v>45710</v>
      </c>
      <c r="B989" t="s">
        <v>60</v>
      </c>
      <c r="C989" t="s">
        <v>69</v>
      </c>
      <c r="D989">
        <v>3</v>
      </c>
      <c r="E989">
        <v>11.2</v>
      </c>
      <c r="F989">
        <v>91.8</v>
      </c>
      <c r="G989">
        <v>3</v>
      </c>
      <c r="H989">
        <v>2</v>
      </c>
      <c r="I989" t="s">
        <v>1665</v>
      </c>
      <c r="J989">
        <v>3.7333333333333329</v>
      </c>
      <c r="K989" t="str">
        <f>_xlfn.XLOOKUP(B989,zones_lookup!A:A,zones_lookup!B:B,"Not found")</f>
        <v>Mrs. Eze</v>
      </c>
      <c r="L989">
        <f>_xlfn.XLOOKUP(B989,zones_lookup!A:A,zones_lookup!C:C,"Not found")</f>
        <v>535000</v>
      </c>
    </row>
    <row r="990" spans="1:12" x14ac:dyDescent="0.3">
      <c r="A990" s="2">
        <v>45969</v>
      </c>
      <c r="B990" t="s">
        <v>93</v>
      </c>
      <c r="C990" t="s">
        <v>101</v>
      </c>
      <c r="D990">
        <v>3</v>
      </c>
      <c r="E990">
        <v>13.8</v>
      </c>
      <c r="F990">
        <v>98.8</v>
      </c>
      <c r="G990">
        <v>0</v>
      </c>
      <c r="H990">
        <v>11</v>
      </c>
      <c r="I990" t="s">
        <v>1664</v>
      </c>
      <c r="J990">
        <v>4.6000000000000005</v>
      </c>
      <c r="K990" t="str">
        <f>_xlfn.XLOOKUP(B990,zones_lookup!A:A,zones_lookup!B:B,"Not found")</f>
        <v>Mr. Ogunleye</v>
      </c>
      <c r="L990">
        <f>_xlfn.XLOOKUP(B990,zones_lookup!A:A,zones_lookup!C:C,"Not found")</f>
        <v>181000</v>
      </c>
    </row>
    <row r="991" spans="1:12" x14ac:dyDescent="0.3">
      <c r="A991" s="2">
        <v>45961</v>
      </c>
      <c r="B991" t="s">
        <v>41</v>
      </c>
      <c r="C991" t="s">
        <v>42</v>
      </c>
      <c r="D991">
        <v>6</v>
      </c>
      <c r="E991">
        <v>49.5</v>
      </c>
      <c r="F991">
        <v>253.2</v>
      </c>
      <c r="G991">
        <v>2</v>
      </c>
      <c r="H991">
        <v>10</v>
      </c>
      <c r="I991" t="s">
        <v>1669</v>
      </c>
      <c r="J991">
        <v>8.25</v>
      </c>
      <c r="K991" t="str">
        <f>_xlfn.XLOOKUP(B991,zones_lookup!A:A,zones_lookup!B:B,"Not found")</f>
        <v>Mrs. Adisa</v>
      </c>
      <c r="L991">
        <f>_xlfn.XLOOKUP(B991,zones_lookup!A:A,zones_lookup!C:C,"Not found")</f>
        <v>633000</v>
      </c>
    </row>
    <row r="992" spans="1:12" x14ac:dyDescent="0.3">
      <c r="A992" s="2">
        <v>45792</v>
      </c>
      <c r="B992" t="s">
        <v>76</v>
      </c>
      <c r="C992" t="s">
        <v>80</v>
      </c>
      <c r="D992">
        <v>6</v>
      </c>
      <c r="E992">
        <v>36</v>
      </c>
      <c r="G992">
        <v>0</v>
      </c>
      <c r="H992">
        <v>5</v>
      </c>
      <c r="I992" t="s">
        <v>1663</v>
      </c>
      <c r="J992">
        <v>6</v>
      </c>
      <c r="K992" t="str">
        <f>_xlfn.XLOOKUP(B992,zones_lookup!A:A,zones_lookup!B:B,"Not found")</f>
        <v>Mr. Adeyemi</v>
      </c>
      <c r="L992">
        <f>_xlfn.XLOOKUP(B992,zones_lookup!A:A,zones_lookup!C:C,"Not found")</f>
        <v>313000</v>
      </c>
    </row>
    <row r="993" spans="1:12" x14ac:dyDescent="0.3">
      <c r="A993" s="2">
        <v>45888</v>
      </c>
      <c r="B993" t="s">
        <v>60</v>
      </c>
      <c r="C993" t="s">
        <v>64</v>
      </c>
      <c r="D993">
        <v>5</v>
      </c>
      <c r="E993">
        <v>14.3</v>
      </c>
      <c r="F993">
        <v>237</v>
      </c>
      <c r="G993">
        <v>3</v>
      </c>
      <c r="H993">
        <v>8</v>
      </c>
      <c r="I993" t="s">
        <v>1666</v>
      </c>
      <c r="J993">
        <v>2.8600000000000003</v>
      </c>
      <c r="K993" t="str">
        <f>_xlfn.XLOOKUP(B993,zones_lookup!A:A,zones_lookup!B:B,"Not found")</f>
        <v>Mrs. Eze</v>
      </c>
      <c r="L993">
        <f>_xlfn.XLOOKUP(B993,zones_lookup!A:A,zones_lookup!C:C,"Not found")</f>
        <v>535000</v>
      </c>
    </row>
    <row r="994" spans="1:12" x14ac:dyDescent="0.3">
      <c r="A994" s="2">
        <v>46013</v>
      </c>
      <c r="B994" t="s">
        <v>41</v>
      </c>
      <c r="C994" t="s">
        <v>46</v>
      </c>
      <c r="D994">
        <v>3</v>
      </c>
      <c r="E994">
        <v>31.1</v>
      </c>
      <c r="F994">
        <v>117.9</v>
      </c>
      <c r="G994">
        <v>1</v>
      </c>
      <c r="H994">
        <v>12</v>
      </c>
      <c r="I994" t="s">
        <v>1671</v>
      </c>
      <c r="J994">
        <v>10.366666666666667</v>
      </c>
      <c r="K994" t="str">
        <f>_xlfn.XLOOKUP(B994,zones_lookup!A:A,zones_lookup!B:B,"Not found")</f>
        <v>Mrs. Adisa</v>
      </c>
      <c r="L994">
        <f>_xlfn.XLOOKUP(B994,zones_lookup!A:A,zones_lookup!C:C,"Not found")</f>
        <v>633000</v>
      </c>
    </row>
    <row r="995" spans="1:12" x14ac:dyDescent="0.3">
      <c r="A995" s="2">
        <v>45710</v>
      </c>
      <c r="B995" t="s">
        <v>93</v>
      </c>
      <c r="C995" t="s">
        <v>57</v>
      </c>
      <c r="D995">
        <v>3</v>
      </c>
      <c r="E995">
        <v>12.9</v>
      </c>
      <c r="F995">
        <v>105.3</v>
      </c>
      <c r="G995">
        <v>2</v>
      </c>
      <c r="H995">
        <v>2</v>
      </c>
      <c r="I995" t="s">
        <v>1665</v>
      </c>
      <c r="J995">
        <v>4.3</v>
      </c>
      <c r="K995" t="str">
        <f>_xlfn.XLOOKUP(B995,zones_lookup!A:A,zones_lookup!B:B,"Not found")</f>
        <v>Mr. Ogunleye</v>
      </c>
      <c r="L995">
        <f>_xlfn.XLOOKUP(B995,zones_lookup!A:A,zones_lookup!C:C,"Not found")</f>
        <v>181000</v>
      </c>
    </row>
    <row r="996" spans="1:12" x14ac:dyDescent="0.3">
      <c r="A996" s="2">
        <v>45684</v>
      </c>
      <c r="B996" t="s">
        <v>27</v>
      </c>
      <c r="C996" t="s">
        <v>38</v>
      </c>
      <c r="D996">
        <v>6</v>
      </c>
      <c r="E996">
        <v>39.4</v>
      </c>
      <c r="F996">
        <v>187.4</v>
      </c>
      <c r="G996">
        <v>0</v>
      </c>
      <c r="H996">
        <v>1</v>
      </c>
      <c r="I996" t="s">
        <v>1660</v>
      </c>
      <c r="J996">
        <v>6.5666666666666664</v>
      </c>
      <c r="K996" t="str">
        <f>_xlfn.XLOOKUP(B996,zones_lookup!A:A,zones_lookup!B:B,"Not found")</f>
        <v>Mr. Bello</v>
      </c>
      <c r="L996">
        <f>_xlfn.XLOOKUP(B996,zones_lookup!A:A,zones_lookup!C:C,"Not found")</f>
        <v>1288000</v>
      </c>
    </row>
    <row r="997" spans="1:12" x14ac:dyDescent="0.3">
      <c r="A997" s="2">
        <v>45840</v>
      </c>
      <c r="B997" t="s">
        <v>76</v>
      </c>
      <c r="C997" t="s">
        <v>84</v>
      </c>
      <c r="D997">
        <v>6</v>
      </c>
      <c r="E997">
        <v>34.5</v>
      </c>
      <c r="F997">
        <v>229.2</v>
      </c>
      <c r="G997">
        <v>0</v>
      </c>
      <c r="H997">
        <v>7</v>
      </c>
      <c r="I997" t="s">
        <v>1661</v>
      </c>
      <c r="J997">
        <v>5.75</v>
      </c>
      <c r="K997" t="str">
        <f>_xlfn.XLOOKUP(B997,zones_lookup!A:A,zones_lookup!B:B,"Not found")</f>
        <v>Mr. Adeyemi</v>
      </c>
      <c r="L997">
        <f>_xlfn.XLOOKUP(B997,zones_lookup!A:A,zones_lookup!C:C,"Not found")</f>
        <v>313000</v>
      </c>
    </row>
    <row r="998" spans="1:12" x14ac:dyDescent="0.3">
      <c r="A998" s="2">
        <v>45669</v>
      </c>
      <c r="B998" t="s">
        <v>49</v>
      </c>
      <c r="C998" t="s">
        <v>52</v>
      </c>
      <c r="D998">
        <v>2</v>
      </c>
      <c r="E998">
        <v>7.9</v>
      </c>
      <c r="F998">
        <v>81</v>
      </c>
      <c r="G998">
        <v>1</v>
      </c>
      <c r="H998">
        <v>1</v>
      </c>
      <c r="I998" t="s">
        <v>1660</v>
      </c>
      <c r="J998">
        <v>3.95</v>
      </c>
      <c r="K998" t="str">
        <f>_xlfn.XLOOKUP(B998,zones_lookup!A:A,zones_lookup!B:B,"Not found")</f>
        <v>Mrs. Johnson</v>
      </c>
      <c r="L998">
        <f>_xlfn.XLOOKUP(B998,zones_lookup!A:A,zones_lookup!C:C,"Not found")</f>
        <v>241000</v>
      </c>
    </row>
    <row r="999" spans="1:12" x14ac:dyDescent="0.3">
      <c r="A999" s="2">
        <v>45714</v>
      </c>
      <c r="B999" t="s">
        <v>27</v>
      </c>
      <c r="C999" t="s">
        <v>38</v>
      </c>
      <c r="D999">
        <v>6</v>
      </c>
      <c r="E999">
        <v>38.200000000000003</v>
      </c>
      <c r="F999">
        <v>248.8</v>
      </c>
      <c r="G999">
        <v>3</v>
      </c>
      <c r="H999">
        <v>2</v>
      </c>
      <c r="I999" t="s">
        <v>1665</v>
      </c>
      <c r="J999">
        <v>6.3666666666666671</v>
      </c>
      <c r="K999" t="str">
        <f>_xlfn.XLOOKUP(B999,zones_lookup!A:A,zones_lookup!B:B,"Not found")</f>
        <v>Mr. Bello</v>
      </c>
      <c r="L999">
        <f>_xlfn.XLOOKUP(B999,zones_lookup!A:A,zones_lookup!C:C,"Not found")</f>
        <v>1288000</v>
      </c>
    </row>
    <row r="1000" spans="1:12" x14ac:dyDescent="0.3">
      <c r="A1000" s="2">
        <v>45982</v>
      </c>
      <c r="B1000" t="s">
        <v>76</v>
      </c>
      <c r="C1000" t="s">
        <v>80</v>
      </c>
      <c r="D1000">
        <v>6</v>
      </c>
      <c r="E1000">
        <v>42.7</v>
      </c>
      <c r="F1000">
        <v>267.2</v>
      </c>
      <c r="G1000">
        <v>0</v>
      </c>
      <c r="H1000">
        <v>11</v>
      </c>
      <c r="I1000" t="s">
        <v>1664</v>
      </c>
      <c r="J1000">
        <v>7.1166666666666671</v>
      </c>
      <c r="K1000" t="str">
        <f>_xlfn.XLOOKUP(B1000,zones_lookup!A:A,zones_lookup!B:B,"Not found")</f>
        <v>Mr. Adeyemi</v>
      </c>
      <c r="L1000">
        <f>_xlfn.XLOOKUP(B1000,zones_lookup!A:A,zones_lookup!C:C,"Not found")</f>
        <v>313000</v>
      </c>
    </row>
    <row r="1001" spans="1:12" x14ac:dyDescent="0.3">
      <c r="A1001" s="2">
        <v>45897</v>
      </c>
      <c r="B1001" t="s">
        <v>60</v>
      </c>
      <c r="C1001" t="s">
        <v>64</v>
      </c>
      <c r="D1001">
        <v>6</v>
      </c>
      <c r="E1001">
        <v>19.5</v>
      </c>
      <c r="G1001">
        <v>3</v>
      </c>
      <c r="H1001">
        <v>8</v>
      </c>
      <c r="I1001" t="s">
        <v>1666</v>
      </c>
      <c r="J1001">
        <v>3.25</v>
      </c>
      <c r="K1001" t="str">
        <f>_xlfn.XLOOKUP(B1001,zones_lookup!A:A,zones_lookup!B:B,"Not found")</f>
        <v>Mrs. Eze</v>
      </c>
      <c r="L1001">
        <f>_xlfn.XLOOKUP(B1001,zones_lookup!A:A,zones_lookup!C:C,"Not found")</f>
        <v>535000</v>
      </c>
    </row>
    <row r="1002" spans="1:12" x14ac:dyDescent="0.3">
      <c r="K1002">
        <f>_xlfn.XLOOKUP(B1002,zones_lookup!A:A,zones_lookup!B:B,"Not found")</f>
        <v>0</v>
      </c>
      <c r="L1002">
        <f>_xlfn.XLOOKUP(B1002,zones_lookup!A:A,zones_lookup!C:C,"Not found")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037B-629B-4041-BFAF-D0BAEC5B6875}">
  <dimension ref="A3:G32"/>
  <sheetViews>
    <sheetView workbookViewId="0">
      <selection activeCell="M11" sqref="M11"/>
    </sheetView>
  </sheetViews>
  <sheetFormatPr defaultRowHeight="14.4" x14ac:dyDescent="0.3"/>
  <cols>
    <col min="1" max="1" width="11.8984375" bestFit="1" customWidth="1"/>
    <col min="2" max="2" width="22.5" bestFit="1" customWidth="1"/>
    <col min="6" max="6" width="11.8984375" bestFit="1" customWidth="1"/>
    <col min="7" max="7" width="22.3984375" bestFit="1" customWidth="1"/>
  </cols>
  <sheetData>
    <row r="3" spans="1:7" x14ac:dyDescent="0.3">
      <c r="A3" s="3" t="s">
        <v>1684</v>
      </c>
      <c r="B3" t="s">
        <v>1686</v>
      </c>
    </row>
    <row r="4" spans="1:7" x14ac:dyDescent="0.3">
      <c r="A4" s="4" t="s">
        <v>27</v>
      </c>
      <c r="B4" s="9">
        <v>7.2090100250626561</v>
      </c>
    </row>
    <row r="5" spans="1:7" x14ac:dyDescent="0.3">
      <c r="A5" s="4" t="s">
        <v>41</v>
      </c>
      <c r="B5" s="9">
        <v>7.1319417475728146</v>
      </c>
      <c r="F5" s="3" t="s">
        <v>1684</v>
      </c>
      <c r="G5" t="s">
        <v>1688</v>
      </c>
    </row>
    <row r="6" spans="1:7" x14ac:dyDescent="0.3">
      <c r="A6" s="4" t="s">
        <v>76</v>
      </c>
      <c r="B6" s="9">
        <v>6.8626781609195397</v>
      </c>
      <c r="F6" s="4" t="s">
        <v>60</v>
      </c>
      <c r="G6" s="9">
        <v>2.5639097744360901</v>
      </c>
    </row>
    <row r="7" spans="1:7" x14ac:dyDescent="0.3">
      <c r="A7" s="4" t="s">
        <v>108</v>
      </c>
      <c r="B7" s="9">
        <v>6.3296581196581192</v>
      </c>
      <c r="F7" s="4" t="s">
        <v>49</v>
      </c>
      <c r="G7" s="9">
        <v>2.5084745762711864</v>
      </c>
    </row>
    <row r="8" spans="1:7" x14ac:dyDescent="0.3">
      <c r="A8" s="4" t="s">
        <v>89</v>
      </c>
      <c r="B8" s="9">
        <v>5.5930330330330342</v>
      </c>
      <c r="F8" s="4" t="s">
        <v>93</v>
      </c>
      <c r="G8" s="9">
        <v>2.411290322580645</v>
      </c>
    </row>
    <row r="9" spans="1:7" x14ac:dyDescent="0.3">
      <c r="A9" s="4" t="s">
        <v>60</v>
      </c>
      <c r="B9" s="9">
        <v>4.1955555555555542</v>
      </c>
      <c r="F9" s="4" t="s">
        <v>41</v>
      </c>
      <c r="G9" s="9">
        <v>1.3592233009708738</v>
      </c>
    </row>
    <row r="10" spans="1:7" x14ac:dyDescent="0.3">
      <c r="A10" s="4" t="s">
        <v>49</v>
      </c>
      <c r="B10" s="9">
        <v>3.9405932203389842</v>
      </c>
      <c r="F10" s="4" t="s">
        <v>89</v>
      </c>
      <c r="G10" s="9">
        <v>1.3035714285714286</v>
      </c>
    </row>
    <row r="11" spans="1:7" x14ac:dyDescent="0.3">
      <c r="A11" s="4" t="s">
        <v>93</v>
      </c>
      <c r="B11" s="9">
        <v>3.712327823691461</v>
      </c>
      <c r="F11" s="4" t="s">
        <v>27</v>
      </c>
      <c r="G11" s="9">
        <v>1.1716417910447761</v>
      </c>
    </row>
    <row r="12" spans="1:7" x14ac:dyDescent="0.3">
      <c r="A12" s="4" t="s">
        <v>1685</v>
      </c>
      <c r="B12" s="9">
        <v>5.6304778911564526</v>
      </c>
      <c r="F12" s="4" t="s">
        <v>76</v>
      </c>
      <c r="G12" s="9">
        <v>1.1258741258741258</v>
      </c>
    </row>
    <row r="13" spans="1:7" x14ac:dyDescent="0.3">
      <c r="F13" s="4" t="s">
        <v>108</v>
      </c>
      <c r="G13" s="9">
        <v>1.1016949152542372</v>
      </c>
    </row>
    <row r="14" spans="1:7" x14ac:dyDescent="0.3">
      <c r="F14" s="4" t="s">
        <v>1685</v>
      </c>
      <c r="G14" s="9">
        <v>1.6954314720812182</v>
      </c>
    </row>
    <row r="19" spans="1:2" x14ac:dyDescent="0.3">
      <c r="A19" s="3" t="s">
        <v>1684</v>
      </c>
      <c r="B19" t="s">
        <v>1687</v>
      </c>
    </row>
    <row r="20" spans="1:2" x14ac:dyDescent="0.3">
      <c r="A20" s="4" t="s">
        <v>1671</v>
      </c>
      <c r="B20" s="9">
        <v>2346.7999999999988</v>
      </c>
    </row>
    <row r="21" spans="1:2" x14ac:dyDescent="0.3">
      <c r="A21" s="4" t="s">
        <v>1667</v>
      </c>
      <c r="B21" s="9">
        <v>2078</v>
      </c>
    </row>
    <row r="22" spans="1:2" x14ac:dyDescent="0.3">
      <c r="A22" s="4" t="s">
        <v>1662</v>
      </c>
      <c r="B22" s="9">
        <v>2017.8000000000004</v>
      </c>
    </row>
    <row r="23" spans="1:2" x14ac:dyDescent="0.3">
      <c r="A23" s="4" t="s">
        <v>1660</v>
      </c>
      <c r="B23" s="9">
        <v>1978.8</v>
      </c>
    </row>
    <row r="24" spans="1:2" x14ac:dyDescent="0.3">
      <c r="A24" s="4" t="s">
        <v>1661</v>
      </c>
      <c r="B24" s="9">
        <v>1819.3999999999999</v>
      </c>
    </row>
    <row r="25" spans="1:2" x14ac:dyDescent="0.3">
      <c r="A25" s="4" t="s">
        <v>1669</v>
      </c>
      <c r="B25" s="9">
        <v>1804.6999999999996</v>
      </c>
    </row>
    <row r="26" spans="1:2" x14ac:dyDescent="0.3">
      <c r="A26" s="4" t="s">
        <v>1670</v>
      </c>
      <c r="B26" s="9">
        <v>1794.2000000000005</v>
      </c>
    </row>
    <row r="27" spans="1:2" x14ac:dyDescent="0.3">
      <c r="A27" s="4" t="s">
        <v>1664</v>
      </c>
      <c r="B27" s="9">
        <v>1760.8000000000004</v>
      </c>
    </row>
    <row r="28" spans="1:2" x14ac:dyDescent="0.3">
      <c r="A28" s="4" t="s">
        <v>1663</v>
      </c>
      <c r="B28" s="9">
        <v>1717.9999999999995</v>
      </c>
    </row>
    <row r="29" spans="1:2" x14ac:dyDescent="0.3">
      <c r="A29" s="4" t="s">
        <v>1668</v>
      </c>
      <c r="B29" s="9">
        <v>1692.9999999999995</v>
      </c>
    </row>
    <row r="30" spans="1:2" x14ac:dyDescent="0.3">
      <c r="A30" s="4" t="s">
        <v>1665</v>
      </c>
      <c r="B30" s="9">
        <v>1472.6</v>
      </c>
    </row>
    <row r="31" spans="1:2" x14ac:dyDescent="0.3">
      <c r="A31" s="4" t="s">
        <v>1666</v>
      </c>
      <c r="B31" s="9">
        <v>1444.1000000000001</v>
      </c>
    </row>
    <row r="32" spans="1:2" x14ac:dyDescent="0.3">
      <c r="A32" s="4" t="s">
        <v>1685</v>
      </c>
      <c r="B32" s="9">
        <v>21928.199999999997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DA32-C08D-48D5-BEB7-1620B800AA9B}">
  <dimension ref="B1:L73"/>
  <sheetViews>
    <sheetView topLeftCell="B55" zoomScale="89" zoomScaleNormal="89" workbookViewId="0">
      <selection activeCell="B72" sqref="B72"/>
    </sheetView>
  </sheetViews>
  <sheetFormatPr defaultRowHeight="14.4" x14ac:dyDescent="0.3"/>
  <cols>
    <col min="10" max="10" width="38.59765625" customWidth="1"/>
  </cols>
  <sheetData>
    <row r="1" spans="2:12" ht="21.35" x14ac:dyDescent="0.45">
      <c r="B1" s="8" t="s">
        <v>1694</v>
      </c>
    </row>
    <row r="6" spans="2:12" ht="21.35" x14ac:dyDescent="0.45">
      <c r="J6" s="8" t="s">
        <v>1</v>
      </c>
      <c r="K6" s="8"/>
      <c r="L6" s="8"/>
    </row>
    <row r="7" spans="2:12" ht="17.850000000000001" x14ac:dyDescent="0.35">
      <c r="J7" s="5" t="s">
        <v>1689</v>
      </c>
    </row>
    <row r="8" spans="2:12" ht="17.850000000000001" x14ac:dyDescent="0.35">
      <c r="J8" s="5" t="s">
        <v>1706</v>
      </c>
    </row>
    <row r="9" spans="2:12" ht="17.850000000000001" x14ac:dyDescent="0.35">
      <c r="J9" s="5" t="s">
        <v>1702</v>
      </c>
    </row>
    <row r="19" spans="10:10" ht="21.35" x14ac:dyDescent="0.45">
      <c r="J19" s="8" t="s">
        <v>2</v>
      </c>
    </row>
    <row r="20" spans="10:10" ht="17.850000000000001" x14ac:dyDescent="0.35">
      <c r="J20" s="5" t="s">
        <v>1690</v>
      </c>
    </row>
    <row r="21" spans="10:10" ht="17.850000000000001" x14ac:dyDescent="0.35">
      <c r="J21" s="5" t="s">
        <v>1707</v>
      </c>
    </row>
    <row r="22" spans="10:10" ht="17.850000000000001" x14ac:dyDescent="0.35">
      <c r="J22" s="5" t="s">
        <v>1691</v>
      </c>
    </row>
    <row r="37" spans="10:11" ht="21.35" x14ac:dyDescent="0.45">
      <c r="J37" s="8" t="s">
        <v>1117</v>
      </c>
      <c r="K37" s="8"/>
    </row>
    <row r="38" spans="10:11" ht="17.850000000000001" x14ac:dyDescent="0.35">
      <c r="J38" s="5" t="s">
        <v>1708</v>
      </c>
    </row>
    <row r="39" spans="10:11" ht="17.850000000000001" x14ac:dyDescent="0.35">
      <c r="J39" s="5" t="s">
        <v>1692</v>
      </c>
    </row>
    <row r="40" spans="10:11" ht="17.850000000000001" x14ac:dyDescent="0.35">
      <c r="J40" s="5" t="s">
        <v>1693</v>
      </c>
    </row>
    <row r="53" spans="2:9" ht="21.35" x14ac:dyDescent="0.45">
      <c r="I53" s="8"/>
    </row>
    <row r="56" spans="2:9" ht="21.35" x14ac:dyDescent="0.45">
      <c r="B56" s="8" t="s">
        <v>1695</v>
      </c>
      <c r="C56" s="8"/>
    </row>
    <row r="57" spans="2:9" ht="17.850000000000001" x14ac:dyDescent="0.35">
      <c r="B57" s="5" t="s">
        <v>1696</v>
      </c>
      <c r="C57" s="5"/>
      <c r="D57" s="5"/>
      <c r="E57" s="5"/>
    </row>
    <row r="58" spans="2:9" ht="17.850000000000001" x14ac:dyDescent="0.35">
      <c r="B58" s="5" t="s">
        <v>1709</v>
      </c>
      <c r="C58" s="5"/>
      <c r="D58" s="5"/>
      <c r="E58" s="5"/>
    </row>
    <row r="59" spans="2:9" ht="17.850000000000001" x14ac:dyDescent="0.35">
      <c r="B59" s="5" t="s">
        <v>1703</v>
      </c>
      <c r="C59" s="5"/>
      <c r="D59" s="5"/>
      <c r="E59" s="5"/>
    </row>
    <row r="63" spans="2:9" ht="21.35" x14ac:dyDescent="0.45">
      <c r="B63" s="8" t="s">
        <v>1697</v>
      </c>
    </row>
    <row r="64" spans="2:9" ht="17.850000000000001" x14ac:dyDescent="0.35">
      <c r="B64" s="5" t="s">
        <v>1712</v>
      </c>
      <c r="C64" s="5"/>
      <c r="D64" s="5"/>
      <c r="E64" s="5"/>
      <c r="F64" s="5"/>
      <c r="G64" s="5"/>
      <c r="H64" s="5"/>
    </row>
    <row r="65" spans="2:8" ht="17.850000000000001" x14ac:dyDescent="0.35">
      <c r="B65" s="5" t="s">
        <v>1710</v>
      </c>
      <c r="C65" s="5"/>
      <c r="D65" s="5"/>
      <c r="E65" s="5"/>
      <c r="F65" s="5"/>
      <c r="G65" s="5"/>
      <c r="H65" s="5"/>
    </row>
    <row r="66" spans="2:8" ht="17.850000000000001" x14ac:dyDescent="0.35">
      <c r="B66" s="5" t="s">
        <v>1711</v>
      </c>
      <c r="C66" s="5"/>
      <c r="D66" s="5"/>
      <c r="E66" s="5"/>
      <c r="F66" s="5"/>
      <c r="G66" s="5"/>
      <c r="H66" s="5"/>
    </row>
    <row r="67" spans="2:8" ht="17.850000000000001" x14ac:dyDescent="0.35">
      <c r="B67" s="5" t="s">
        <v>1704</v>
      </c>
      <c r="C67" s="5"/>
      <c r="D67" s="5"/>
      <c r="E67" s="5"/>
      <c r="F67" s="5"/>
      <c r="G67" s="5"/>
      <c r="H67" s="5"/>
    </row>
    <row r="68" spans="2:8" ht="17.850000000000001" x14ac:dyDescent="0.35">
      <c r="B68" s="5" t="s">
        <v>1698</v>
      </c>
      <c r="C68" s="5"/>
      <c r="D68" s="5"/>
      <c r="E68" s="5"/>
      <c r="F68" s="5"/>
      <c r="G68" s="5"/>
      <c r="H68" s="5"/>
    </row>
    <row r="69" spans="2:8" ht="17.850000000000001" x14ac:dyDescent="0.35">
      <c r="B69" s="5" t="s">
        <v>1699</v>
      </c>
      <c r="C69" s="5"/>
      <c r="D69" s="5"/>
      <c r="E69" s="5"/>
      <c r="F69" s="5"/>
      <c r="G69" s="5"/>
      <c r="H69" s="5"/>
    </row>
    <row r="70" spans="2:8" ht="17.850000000000001" x14ac:dyDescent="0.35">
      <c r="B70" s="5" t="s">
        <v>1705</v>
      </c>
      <c r="C70" s="5"/>
      <c r="D70" s="5"/>
      <c r="E70" s="5"/>
      <c r="F70" s="5"/>
      <c r="G70" s="5"/>
      <c r="H70" s="5"/>
    </row>
    <row r="71" spans="2:8" ht="17.850000000000001" x14ac:dyDescent="0.35">
      <c r="B71" s="5" t="s">
        <v>1713</v>
      </c>
      <c r="C71" s="5"/>
      <c r="D71" s="5"/>
      <c r="E71" s="5"/>
      <c r="F71" s="5"/>
      <c r="G71" s="5"/>
      <c r="H71" s="5"/>
    </row>
    <row r="72" spans="2:8" ht="17.850000000000001" x14ac:dyDescent="0.35">
      <c r="B72" s="5" t="s">
        <v>1700</v>
      </c>
      <c r="C72" s="5"/>
      <c r="D72" s="5"/>
      <c r="E72" s="5"/>
      <c r="F72" s="5"/>
      <c r="G72" s="5"/>
      <c r="H72" s="5"/>
    </row>
    <row r="73" spans="2:8" ht="17.850000000000001" x14ac:dyDescent="0.35">
      <c r="B73" s="5" t="s">
        <v>1701</v>
      </c>
      <c r="C73" s="5"/>
      <c r="D73" s="5"/>
      <c r="E73" s="5"/>
      <c r="F73" s="5"/>
      <c r="G73" s="5"/>
      <c r="H73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5F29E8-368F-47CE-B429-E2DA2D234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Issue_logs</vt:lpstr>
      <vt:lpstr>raw_data</vt:lpstr>
      <vt:lpstr>zones_lookup</vt:lpstr>
      <vt:lpstr>Clean_data</vt:lpstr>
      <vt:lpstr>pivot table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kofoworola balogun</dc:creator>
  <cp:lastModifiedBy>kofoworola balogun</cp:lastModifiedBy>
  <dcterms:created xsi:type="dcterms:W3CDTF">2026-10-16T09:28:26Z</dcterms:created>
  <dcterms:modified xsi:type="dcterms:W3CDTF">2026-10-28T08:04:12Z</dcterms:modified>
</cp:coreProperties>
</file>